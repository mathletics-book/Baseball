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1708" codeName="{54D0D2CB-4C12-4D6E-6EDF-ACB5E8E520A3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Owner\Documents\mathletics1_10\"/>
    </mc:Choice>
  </mc:AlternateContent>
  <xr:revisionPtr revIDLastSave="0" documentId="8_{716BC882-865D-46D7-BC79-094A944A31AB}" xr6:coauthVersionLast="43" xr6:coauthVersionMax="43" xr10:uidLastSave="{00000000-0000-0000-0000-000000000000}"/>
  <bookViews>
    <workbookView xWindow="-110" yWindow="-110" windowWidth="19420" windowHeight="10420" tabRatio="681" activeTab="4" xr2:uid="{00000000-000D-0000-FFFF-FFFF00000000}"/>
  </bookViews>
  <sheets>
    <sheet name="fig1-1_MLB2005-2016" sheetId="1" r:id="rId1"/>
    <sheet name="fig1-2_MAD_exp" sheetId="2" r:id="rId2"/>
    <sheet name="playoffpredictions" sheetId="3" r:id="rId3"/>
    <sheet name="fig1-3_NFL2008-2015" sheetId="7" r:id="rId4"/>
    <sheet name="fig1-4_NBA2008-2016" sheetId="5" r:id="rId5"/>
  </sheets>
  <definedNames>
    <definedName name="playoff_results" localSheetId="3">'fig1-3_NFL2008-2015'!$B$266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alcChain.xml><?xml version="1.0" encoding="utf-8"?>
<calcChain xmlns="http://schemas.openxmlformats.org/spreadsheetml/2006/main">
  <c r="H4" i="1" l="1"/>
  <c r="H5" i="1"/>
  <c r="H6" i="1"/>
  <c r="H7" i="1"/>
  <c r="H8" i="1"/>
  <c r="H9" i="1"/>
  <c r="H10" i="1"/>
  <c r="H11" i="1"/>
  <c r="H12" i="1"/>
  <c r="H13" i="1"/>
  <c r="H14" i="1"/>
  <c r="H15" i="1"/>
  <c r="H16" i="1"/>
  <c r="H17" i="1"/>
  <c r="H18" i="1"/>
  <c r="H19" i="1"/>
  <c r="H20" i="1"/>
  <c r="H21" i="1"/>
  <c r="H22" i="1"/>
  <c r="H23" i="1"/>
  <c r="H24" i="1"/>
  <c r="H25" i="1"/>
  <c r="H26" i="1"/>
  <c r="H27" i="1"/>
  <c r="H28" i="1"/>
  <c r="H29" i="1"/>
  <c r="H30" i="1"/>
  <c r="H31" i="1"/>
  <c r="H32" i="1"/>
  <c r="H33" i="1"/>
  <c r="H34" i="1"/>
  <c r="H35" i="1"/>
  <c r="H36" i="1"/>
  <c r="H37" i="1"/>
  <c r="H38" i="1"/>
  <c r="H39" i="1"/>
  <c r="H40" i="1"/>
  <c r="H41" i="1"/>
  <c r="H42" i="1"/>
  <c r="H43" i="1"/>
  <c r="H44" i="1"/>
  <c r="H45" i="1"/>
  <c r="H46" i="1"/>
  <c r="H47" i="1"/>
  <c r="H48" i="1"/>
  <c r="H49" i="1"/>
  <c r="H50" i="1"/>
  <c r="H51" i="1"/>
  <c r="H52" i="1"/>
  <c r="H53" i="1"/>
  <c r="H54" i="1"/>
  <c r="H55" i="1"/>
  <c r="H56" i="1"/>
  <c r="H57" i="1"/>
  <c r="H58" i="1"/>
  <c r="H59" i="1"/>
  <c r="H60" i="1"/>
  <c r="H61" i="1"/>
  <c r="H62" i="1"/>
  <c r="H63" i="1"/>
  <c r="H64" i="1"/>
  <c r="H65" i="1"/>
  <c r="H66" i="1"/>
  <c r="H67" i="1"/>
  <c r="H68" i="1"/>
  <c r="H69" i="1"/>
  <c r="H70" i="1"/>
  <c r="H71" i="1"/>
  <c r="H72" i="1"/>
  <c r="H73" i="1"/>
  <c r="H74" i="1"/>
  <c r="H75" i="1"/>
  <c r="H76" i="1"/>
  <c r="H77" i="1"/>
  <c r="H78" i="1"/>
  <c r="H79" i="1"/>
  <c r="H80" i="1"/>
  <c r="H81" i="1"/>
  <c r="H82" i="1"/>
  <c r="H83" i="1"/>
  <c r="H84" i="1"/>
  <c r="H85" i="1"/>
  <c r="H86" i="1"/>
  <c r="H87" i="1"/>
  <c r="H88" i="1"/>
  <c r="H89" i="1"/>
  <c r="H90" i="1"/>
  <c r="H91" i="1"/>
  <c r="H92" i="1"/>
  <c r="H93" i="1"/>
  <c r="H94" i="1"/>
  <c r="H95" i="1"/>
  <c r="H96" i="1"/>
  <c r="H97" i="1"/>
  <c r="H98" i="1"/>
  <c r="H99" i="1"/>
  <c r="H100" i="1"/>
  <c r="H101" i="1"/>
  <c r="H102" i="1"/>
  <c r="H103" i="1"/>
  <c r="H104" i="1"/>
  <c r="H105" i="1"/>
  <c r="H106" i="1"/>
  <c r="H107" i="1"/>
  <c r="H108" i="1"/>
  <c r="H109" i="1"/>
  <c r="H110" i="1"/>
  <c r="H111" i="1"/>
  <c r="H112" i="1"/>
  <c r="H113" i="1"/>
  <c r="H114" i="1"/>
  <c r="H115" i="1"/>
  <c r="H116" i="1"/>
  <c r="H117" i="1"/>
  <c r="H118" i="1"/>
  <c r="H119" i="1"/>
  <c r="H120" i="1"/>
  <c r="H121" i="1"/>
  <c r="H122" i="1"/>
  <c r="H123" i="1"/>
  <c r="H124" i="1"/>
  <c r="H125" i="1"/>
  <c r="H126" i="1"/>
  <c r="H127" i="1"/>
  <c r="H128" i="1"/>
  <c r="H129" i="1"/>
  <c r="H130" i="1"/>
  <c r="H131" i="1"/>
  <c r="H132" i="1"/>
  <c r="H133" i="1"/>
  <c r="H134" i="1"/>
  <c r="H135" i="1"/>
  <c r="H136" i="1"/>
  <c r="H137" i="1"/>
  <c r="H138" i="1"/>
  <c r="H139" i="1"/>
  <c r="H140" i="1"/>
  <c r="H141" i="1"/>
  <c r="H142" i="1"/>
  <c r="H143" i="1"/>
  <c r="H144" i="1"/>
  <c r="H145" i="1"/>
  <c r="H146" i="1"/>
  <c r="H147" i="1"/>
  <c r="H148" i="1"/>
  <c r="H149" i="1"/>
  <c r="H150" i="1"/>
  <c r="H151" i="1"/>
  <c r="H152" i="1"/>
  <c r="H153" i="1"/>
  <c r="H154" i="1"/>
  <c r="H155" i="1"/>
  <c r="H156" i="1"/>
  <c r="H157" i="1"/>
  <c r="H158" i="1"/>
  <c r="H159" i="1"/>
  <c r="H160" i="1"/>
  <c r="H161" i="1"/>
  <c r="H162" i="1"/>
  <c r="H163" i="1"/>
  <c r="H164" i="1"/>
  <c r="H165" i="1"/>
  <c r="H166" i="1"/>
  <c r="H167" i="1"/>
  <c r="H168" i="1"/>
  <c r="H169" i="1"/>
  <c r="H170" i="1"/>
  <c r="H171" i="1"/>
  <c r="H172" i="1"/>
  <c r="H173" i="1"/>
  <c r="H174" i="1"/>
  <c r="H175" i="1"/>
  <c r="H176" i="1"/>
  <c r="H177" i="1"/>
  <c r="H178" i="1"/>
  <c r="H179" i="1"/>
  <c r="H180" i="1"/>
  <c r="H181" i="1"/>
  <c r="H182" i="1"/>
  <c r="H183" i="1"/>
  <c r="H184" i="1"/>
  <c r="H185" i="1"/>
  <c r="H186" i="1"/>
  <c r="H187" i="1"/>
  <c r="H188" i="1"/>
  <c r="H189" i="1"/>
  <c r="H190" i="1"/>
  <c r="H191" i="1"/>
  <c r="H192" i="1"/>
  <c r="H193" i="1"/>
  <c r="H194" i="1"/>
  <c r="H195" i="1"/>
  <c r="H196" i="1"/>
  <c r="H197" i="1"/>
  <c r="H198" i="1"/>
  <c r="H199" i="1"/>
  <c r="H200" i="1"/>
  <c r="H201" i="1"/>
  <c r="H202" i="1"/>
  <c r="H203" i="1"/>
  <c r="H204" i="1"/>
  <c r="H205" i="1"/>
  <c r="H206" i="1"/>
  <c r="H207" i="1"/>
  <c r="H208" i="1"/>
  <c r="H209" i="1"/>
  <c r="H210" i="1"/>
  <c r="H211" i="1"/>
  <c r="H212" i="1"/>
  <c r="H213" i="1"/>
  <c r="H214" i="1"/>
  <c r="H215" i="1"/>
  <c r="H216" i="1"/>
  <c r="H217" i="1"/>
  <c r="H218" i="1"/>
  <c r="H219" i="1"/>
  <c r="H220" i="1"/>
  <c r="H221" i="1"/>
  <c r="H222" i="1"/>
  <c r="H223" i="1"/>
  <c r="H224" i="1"/>
  <c r="H225" i="1"/>
  <c r="H226" i="1"/>
  <c r="H227" i="1"/>
  <c r="H228" i="1"/>
  <c r="H229" i="1"/>
  <c r="H230" i="1"/>
  <c r="H231" i="1"/>
  <c r="H232" i="1"/>
  <c r="H233" i="1"/>
  <c r="H234" i="1"/>
  <c r="H235" i="1"/>
  <c r="H236" i="1"/>
  <c r="H237" i="1"/>
  <c r="H238" i="1"/>
  <c r="H239" i="1"/>
  <c r="H240" i="1"/>
  <c r="H241" i="1"/>
  <c r="H242" i="1"/>
  <c r="H243" i="1"/>
  <c r="H244" i="1"/>
  <c r="H245" i="1"/>
  <c r="H246" i="1"/>
  <c r="H247" i="1"/>
  <c r="H248" i="1"/>
  <c r="H249" i="1"/>
  <c r="H250" i="1"/>
  <c r="H251" i="1"/>
  <c r="H252" i="1"/>
  <c r="H253" i="1"/>
  <c r="H254" i="1"/>
  <c r="H255" i="1"/>
  <c r="H256" i="1"/>
  <c r="H257" i="1"/>
  <c r="H258" i="1"/>
  <c r="H259" i="1"/>
  <c r="H260" i="1"/>
  <c r="H261" i="1"/>
  <c r="H262" i="1"/>
  <c r="H263" i="1"/>
  <c r="H264" i="1"/>
  <c r="H265" i="1"/>
  <c r="H266" i="1"/>
  <c r="H267" i="1"/>
  <c r="H268" i="1"/>
  <c r="H269" i="1"/>
  <c r="H270" i="1"/>
  <c r="H271" i="1"/>
  <c r="H272" i="1"/>
  <c r="H273" i="1"/>
  <c r="H274" i="1"/>
  <c r="H275" i="1"/>
  <c r="H276" i="1"/>
  <c r="H277" i="1"/>
  <c r="H278" i="1"/>
  <c r="H279" i="1"/>
  <c r="H280" i="1"/>
  <c r="H281" i="1"/>
  <c r="H282" i="1"/>
  <c r="H283" i="1"/>
  <c r="H284" i="1"/>
  <c r="H285" i="1"/>
  <c r="H286" i="1"/>
  <c r="H287" i="1"/>
  <c r="H288" i="1"/>
  <c r="H289" i="1"/>
  <c r="H290" i="1"/>
  <c r="H291" i="1"/>
  <c r="H292" i="1"/>
  <c r="H293" i="1"/>
  <c r="H294" i="1"/>
  <c r="H295" i="1"/>
  <c r="H296" i="1"/>
  <c r="H297" i="1"/>
  <c r="H298" i="1"/>
  <c r="H299" i="1"/>
  <c r="H300" i="1"/>
  <c r="H301" i="1"/>
  <c r="H302" i="1"/>
  <c r="H303" i="1"/>
  <c r="H304" i="1"/>
  <c r="H305" i="1"/>
  <c r="H306" i="1"/>
  <c r="H307" i="1"/>
  <c r="H308" i="1"/>
  <c r="H309" i="1"/>
  <c r="H310" i="1"/>
  <c r="H311" i="1"/>
  <c r="H312" i="1"/>
  <c r="H313" i="1"/>
  <c r="H314" i="1"/>
  <c r="H315" i="1"/>
  <c r="H316" i="1"/>
  <c r="H317" i="1"/>
  <c r="H318" i="1"/>
  <c r="H319" i="1"/>
  <c r="H320" i="1"/>
  <c r="H321" i="1"/>
  <c r="H322" i="1"/>
  <c r="H323" i="1"/>
  <c r="H324" i="1"/>
  <c r="H325" i="1"/>
  <c r="H326" i="1"/>
  <c r="H327" i="1"/>
  <c r="H328" i="1"/>
  <c r="H329" i="1"/>
  <c r="H330" i="1"/>
  <c r="H331" i="1"/>
  <c r="H332" i="1"/>
  <c r="H333" i="1"/>
  <c r="H334" i="1"/>
  <c r="H335" i="1"/>
  <c r="H336" i="1"/>
  <c r="H337" i="1"/>
  <c r="H338" i="1"/>
  <c r="H339" i="1"/>
  <c r="H340" i="1"/>
  <c r="H341" i="1"/>
  <c r="H342" i="1"/>
  <c r="H343" i="1"/>
  <c r="H344" i="1"/>
  <c r="H345" i="1"/>
  <c r="H346" i="1"/>
  <c r="H347" i="1"/>
  <c r="H348" i="1"/>
  <c r="H349" i="1"/>
  <c r="H350" i="1"/>
  <c r="H351" i="1"/>
  <c r="H352" i="1"/>
  <c r="H353" i="1"/>
  <c r="H354" i="1"/>
  <c r="H355" i="1"/>
  <c r="H356" i="1"/>
  <c r="H357" i="1"/>
  <c r="H358" i="1"/>
  <c r="H359" i="1"/>
  <c r="H360" i="1"/>
  <c r="H361" i="1"/>
  <c r="H362" i="1"/>
  <c r="H3" i="1"/>
  <c r="G3" i="1" l="1"/>
  <c r="G4" i="1"/>
  <c r="G5" i="1"/>
  <c r="G6" i="1"/>
  <c r="G7" i="1"/>
  <c r="K2" i="3" l="1"/>
  <c r="K3" i="3"/>
  <c r="K4" i="3"/>
  <c r="I2" i="3"/>
  <c r="H2" i="3"/>
  <c r="I3" i="3"/>
  <c r="I4" i="3"/>
  <c r="H3" i="3"/>
  <c r="H4" i="3"/>
  <c r="G4" i="5" l="1"/>
  <c r="H4" i="5" s="1"/>
  <c r="J4" i="5" s="1"/>
  <c r="G5" i="5"/>
  <c r="H5" i="5" s="1"/>
  <c r="J5" i="5" s="1"/>
  <c r="G6" i="5"/>
  <c r="H6" i="5" s="1"/>
  <c r="J6" i="5" s="1"/>
  <c r="G7" i="5"/>
  <c r="H7" i="5" s="1"/>
  <c r="J7" i="5" s="1"/>
  <c r="G8" i="5"/>
  <c r="H8" i="5" s="1"/>
  <c r="J8" i="5" s="1"/>
  <c r="G9" i="5"/>
  <c r="H9" i="5" s="1"/>
  <c r="J9" i="5" s="1"/>
  <c r="G10" i="5"/>
  <c r="H10" i="5" s="1"/>
  <c r="J10" i="5" s="1"/>
  <c r="G11" i="5"/>
  <c r="H11" i="5" s="1"/>
  <c r="J11" i="5" s="1"/>
  <c r="G12" i="5"/>
  <c r="H12" i="5" s="1"/>
  <c r="J12" i="5" s="1"/>
  <c r="G13" i="5"/>
  <c r="H13" i="5" s="1"/>
  <c r="J13" i="5" s="1"/>
  <c r="G14" i="5"/>
  <c r="H14" i="5" s="1"/>
  <c r="J14" i="5" s="1"/>
  <c r="G15" i="5"/>
  <c r="H15" i="5" s="1"/>
  <c r="J15" i="5" s="1"/>
  <c r="G16" i="5"/>
  <c r="H16" i="5" s="1"/>
  <c r="J16" i="5" s="1"/>
  <c r="G17" i="5"/>
  <c r="H17" i="5" s="1"/>
  <c r="J17" i="5" s="1"/>
  <c r="G18" i="5"/>
  <c r="H18" i="5" s="1"/>
  <c r="J18" i="5" s="1"/>
  <c r="G19" i="5"/>
  <c r="H19" i="5" s="1"/>
  <c r="J19" i="5" s="1"/>
  <c r="G20" i="5"/>
  <c r="H20" i="5" s="1"/>
  <c r="J20" i="5" s="1"/>
  <c r="G21" i="5"/>
  <c r="H21" i="5" s="1"/>
  <c r="J21" i="5" s="1"/>
  <c r="G22" i="5"/>
  <c r="H22" i="5" s="1"/>
  <c r="J22" i="5" s="1"/>
  <c r="G23" i="5"/>
  <c r="H23" i="5" s="1"/>
  <c r="J23" i="5" s="1"/>
  <c r="G24" i="5"/>
  <c r="H24" i="5" s="1"/>
  <c r="J24" i="5" s="1"/>
  <c r="G25" i="5"/>
  <c r="H25" i="5" s="1"/>
  <c r="J25" i="5" s="1"/>
  <c r="G26" i="5"/>
  <c r="H26" i="5" s="1"/>
  <c r="J26" i="5" s="1"/>
  <c r="G27" i="5"/>
  <c r="H27" i="5" s="1"/>
  <c r="J27" i="5" s="1"/>
  <c r="G28" i="5"/>
  <c r="H28" i="5" s="1"/>
  <c r="J28" i="5" s="1"/>
  <c r="G29" i="5"/>
  <c r="H29" i="5" s="1"/>
  <c r="J29" i="5" s="1"/>
  <c r="G30" i="5"/>
  <c r="H30" i="5" s="1"/>
  <c r="J30" i="5" s="1"/>
  <c r="G31" i="5"/>
  <c r="H31" i="5" s="1"/>
  <c r="J31" i="5" s="1"/>
  <c r="G32" i="5"/>
  <c r="H32" i="5" s="1"/>
  <c r="J32" i="5" s="1"/>
  <c r="G33" i="5"/>
  <c r="H33" i="5" s="1"/>
  <c r="J33" i="5" s="1"/>
  <c r="G34" i="5"/>
  <c r="H34" i="5" s="1"/>
  <c r="J34" i="5" s="1"/>
  <c r="G35" i="5"/>
  <c r="H35" i="5" s="1"/>
  <c r="J35" i="5" s="1"/>
  <c r="G36" i="5"/>
  <c r="H36" i="5" s="1"/>
  <c r="J36" i="5" s="1"/>
  <c r="G37" i="5"/>
  <c r="H37" i="5" s="1"/>
  <c r="J37" i="5" s="1"/>
  <c r="G38" i="5"/>
  <c r="H38" i="5" s="1"/>
  <c r="J38" i="5" s="1"/>
  <c r="G39" i="5"/>
  <c r="H39" i="5" s="1"/>
  <c r="J39" i="5" s="1"/>
  <c r="G40" i="5"/>
  <c r="H40" i="5" s="1"/>
  <c r="J40" i="5" s="1"/>
  <c r="G41" i="5"/>
  <c r="H41" i="5" s="1"/>
  <c r="J41" i="5" s="1"/>
  <c r="G42" i="5"/>
  <c r="H42" i="5" s="1"/>
  <c r="J42" i="5" s="1"/>
  <c r="G43" i="5"/>
  <c r="H43" i="5" s="1"/>
  <c r="J43" i="5" s="1"/>
  <c r="G44" i="5"/>
  <c r="H44" i="5" s="1"/>
  <c r="J44" i="5" s="1"/>
  <c r="G45" i="5"/>
  <c r="H45" i="5" s="1"/>
  <c r="J45" i="5" s="1"/>
  <c r="G46" i="5"/>
  <c r="H46" i="5" s="1"/>
  <c r="J46" i="5" s="1"/>
  <c r="G47" i="5"/>
  <c r="H47" i="5" s="1"/>
  <c r="J47" i="5" s="1"/>
  <c r="G48" i="5"/>
  <c r="H48" i="5" s="1"/>
  <c r="J48" i="5" s="1"/>
  <c r="G49" i="5"/>
  <c r="H49" i="5" s="1"/>
  <c r="J49" i="5" s="1"/>
  <c r="G50" i="5"/>
  <c r="H50" i="5" s="1"/>
  <c r="J50" i="5" s="1"/>
  <c r="G51" i="5"/>
  <c r="H51" i="5" s="1"/>
  <c r="J51" i="5" s="1"/>
  <c r="G52" i="5"/>
  <c r="H52" i="5" s="1"/>
  <c r="J52" i="5" s="1"/>
  <c r="G53" i="5"/>
  <c r="H53" i="5" s="1"/>
  <c r="J53" i="5" s="1"/>
  <c r="G54" i="5"/>
  <c r="H54" i="5" s="1"/>
  <c r="J54" i="5" s="1"/>
  <c r="G55" i="5"/>
  <c r="H55" i="5" s="1"/>
  <c r="J55" i="5" s="1"/>
  <c r="G56" i="5"/>
  <c r="H56" i="5" s="1"/>
  <c r="J56" i="5" s="1"/>
  <c r="G57" i="5"/>
  <c r="H57" i="5" s="1"/>
  <c r="J57" i="5" s="1"/>
  <c r="G58" i="5"/>
  <c r="H58" i="5" s="1"/>
  <c r="J58" i="5" s="1"/>
  <c r="G59" i="5"/>
  <c r="H59" i="5" s="1"/>
  <c r="J59" i="5" s="1"/>
  <c r="G60" i="5"/>
  <c r="H60" i="5" s="1"/>
  <c r="J60" i="5" s="1"/>
  <c r="G61" i="5"/>
  <c r="H61" i="5" s="1"/>
  <c r="J61" i="5" s="1"/>
  <c r="G62" i="5"/>
  <c r="H62" i="5" s="1"/>
  <c r="J62" i="5" s="1"/>
  <c r="G63" i="5"/>
  <c r="H63" i="5" s="1"/>
  <c r="J63" i="5" s="1"/>
  <c r="G64" i="5"/>
  <c r="H64" i="5" s="1"/>
  <c r="J64" i="5" s="1"/>
  <c r="G65" i="5"/>
  <c r="H65" i="5" s="1"/>
  <c r="J65" i="5" s="1"/>
  <c r="G66" i="5"/>
  <c r="H66" i="5" s="1"/>
  <c r="J66" i="5" s="1"/>
  <c r="G67" i="5"/>
  <c r="H67" i="5" s="1"/>
  <c r="J67" i="5" s="1"/>
  <c r="G68" i="5"/>
  <c r="H68" i="5" s="1"/>
  <c r="J68" i="5" s="1"/>
  <c r="G69" i="5"/>
  <c r="H69" i="5" s="1"/>
  <c r="J69" i="5" s="1"/>
  <c r="G70" i="5"/>
  <c r="H70" i="5" s="1"/>
  <c r="J70" i="5" s="1"/>
  <c r="G71" i="5"/>
  <c r="H71" i="5" s="1"/>
  <c r="J71" i="5" s="1"/>
  <c r="G72" i="5"/>
  <c r="H72" i="5" s="1"/>
  <c r="J72" i="5" s="1"/>
  <c r="G73" i="5"/>
  <c r="H73" i="5" s="1"/>
  <c r="J73" i="5" s="1"/>
  <c r="G74" i="5"/>
  <c r="H74" i="5" s="1"/>
  <c r="J74" i="5" s="1"/>
  <c r="G75" i="5"/>
  <c r="H75" i="5" s="1"/>
  <c r="J75" i="5" s="1"/>
  <c r="G76" i="5"/>
  <c r="H76" i="5" s="1"/>
  <c r="J76" i="5" s="1"/>
  <c r="G77" i="5"/>
  <c r="H77" i="5" s="1"/>
  <c r="J77" i="5" s="1"/>
  <c r="G78" i="5"/>
  <c r="H78" i="5" s="1"/>
  <c r="J78" i="5" s="1"/>
  <c r="G79" i="5"/>
  <c r="H79" i="5" s="1"/>
  <c r="J79" i="5" s="1"/>
  <c r="G80" i="5"/>
  <c r="H80" i="5" s="1"/>
  <c r="J80" i="5" s="1"/>
  <c r="G81" i="5"/>
  <c r="H81" i="5" s="1"/>
  <c r="J81" i="5" s="1"/>
  <c r="G82" i="5"/>
  <c r="H82" i="5" s="1"/>
  <c r="J82" i="5" s="1"/>
  <c r="G83" i="5"/>
  <c r="H83" i="5" s="1"/>
  <c r="J83" i="5" s="1"/>
  <c r="G84" i="5"/>
  <c r="H84" i="5" s="1"/>
  <c r="J84" i="5" s="1"/>
  <c r="G85" i="5"/>
  <c r="H85" i="5" s="1"/>
  <c r="J85" i="5" s="1"/>
  <c r="G86" i="5"/>
  <c r="H86" i="5" s="1"/>
  <c r="J86" i="5" s="1"/>
  <c r="G87" i="5"/>
  <c r="H87" i="5" s="1"/>
  <c r="J87" i="5" s="1"/>
  <c r="G88" i="5"/>
  <c r="H88" i="5" s="1"/>
  <c r="J88" i="5" s="1"/>
  <c r="G89" i="5"/>
  <c r="H89" i="5" s="1"/>
  <c r="J89" i="5" s="1"/>
  <c r="G90" i="5"/>
  <c r="H90" i="5" s="1"/>
  <c r="J90" i="5" s="1"/>
  <c r="G91" i="5"/>
  <c r="H91" i="5" s="1"/>
  <c r="J91" i="5" s="1"/>
  <c r="G92" i="5"/>
  <c r="H92" i="5" s="1"/>
  <c r="J92" i="5" s="1"/>
  <c r="G93" i="5"/>
  <c r="H93" i="5" s="1"/>
  <c r="J93" i="5" s="1"/>
  <c r="G94" i="5"/>
  <c r="H94" i="5" s="1"/>
  <c r="J94" i="5" s="1"/>
  <c r="G95" i="5"/>
  <c r="H95" i="5" s="1"/>
  <c r="J95" i="5" s="1"/>
  <c r="G96" i="5"/>
  <c r="H96" i="5" s="1"/>
  <c r="J96" i="5" s="1"/>
  <c r="G97" i="5"/>
  <c r="H97" i="5" s="1"/>
  <c r="J97" i="5" s="1"/>
  <c r="G98" i="5"/>
  <c r="H98" i="5" s="1"/>
  <c r="J98" i="5" s="1"/>
  <c r="G99" i="5"/>
  <c r="H99" i="5" s="1"/>
  <c r="J99" i="5" s="1"/>
  <c r="G100" i="5"/>
  <c r="H100" i="5" s="1"/>
  <c r="J100" i="5" s="1"/>
  <c r="G101" i="5"/>
  <c r="H101" i="5" s="1"/>
  <c r="J101" i="5" s="1"/>
  <c r="G102" i="5"/>
  <c r="H102" i="5" s="1"/>
  <c r="J102" i="5" s="1"/>
  <c r="G103" i="5"/>
  <c r="H103" i="5" s="1"/>
  <c r="J103" i="5" s="1"/>
  <c r="G104" i="5"/>
  <c r="H104" i="5" s="1"/>
  <c r="J104" i="5" s="1"/>
  <c r="G105" i="5"/>
  <c r="H105" i="5" s="1"/>
  <c r="J105" i="5" s="1"/>
  <c r="G106" i="5"/>
  <c r="H106" i="5" s="1"/>
  <c r="J106" i="5" s="1"/>
  <c r="G107" i="5"/>
  <c r="H107" i="5" s="1"/>
  <c r="J107" i="5" s="1"/>
  <c r="G108" i="5"/>
  <c r="H108" i="5" s="1"/>
  <c r="J108" i="5" s="1"/>
  <c r="G109" i="5"/>
  <c r="H109" i="5" s="1"/>
  <c r="J109" i="5" s="1"/>
  <c r="G110" i="5"/>
  <c r="H110" i="5" s="1"/>
  <c r="J110" i="5" s="1"/>
  <c r="G111" i="5"/>
  <c r="H111" i="5" s="1"/>
  <c r="J111" i="5" s="1"/>
  <c r="G112" i="5"/>
  <c r="H112" i="5" s="1"/>
  <c r="J112" i="5" s="1"/>
  <c r="G113" i="5"/>
  <c r="H113" i="5" s="1"/>
  <c r="J113" i="5" s="1"/>
  <c r="G114" i="5"/>
  <c r="H114" i="5" s="1"/>
  <c r="J114" i="5" s="1"/>
  <c r="G115" i="5"/>
  <c r="H115" i="5" s="1"/>
  <c r="J115" i="5" s="1"/>
  <c r="G116" i="5"/>
  <c r="H116" i="5" s="1"/>
  <c r="J116" i="5" s="1"/>
  <c r="G117" i="5"/>
  <c r="H117" i="5" s="1"/>
  <c r="J117" i="5" s="1"/>
  <c r="G118" i="5"/>
  <c r="H118" i="5" s="1"/>
  <c r="J118" i="5" s="1"/>
  <c r="G119" i="5"/>
  <c r="H119" i="5" s="1"/>
  <c r="J119" i="5" s="1"/>
  <c r="G120" i="5"/>
  <c r="H120" i="5" s="1"/>
  <c r="J120" i="5" s="1"/>
  <c r="G121" i="5"/>
  <c r="H121" i="5" s="1"/>
  <c r="J121" i="5" s="1"/>
  <c r="G122" i="5"/>
  <c r="H122" i="5" s="1"/>
  <c r="J122" i="5" s="1"/>
  <c r="G123" i="5"/>
  <c r="H123" i="5" s="1"/>
  <c r="J123" i="5" s="1"/>
  <c r="G124" i="5"/>
  <c r="H124" i="5" s="1"/>
  <c r="J124" i="5" s="1"/>
  <c r="G125" i="5"/>
  <c r="H125" i="5" s="1"/>
  <c r="J125" i="5" s="1"/>
  <c r="G126" i="5"/>
  <c r="H126" i="5" s="1"/>
  <c r="J126" i="5" s="1"/>
  <c r="G127" i="5"/>
  <c r="H127" i="5" s="1"/>
  <c r="J127" i="5" s="1"/>
  <c r="G128" i="5"/>
  <c r="H128" i="5" s="1"/>
  <c r="J128" i="5" s="1"/>
  <c r="G129" i="5"/>
  <c r="H129" i="5" s="1"/>
  <c r="J129" i="5" s="1"/>
  <c r="G130" i="5"/>
  <c r="H130" i="5" s="1"/>
  <c r="J130" i="5" s="1"/>
  <c r="G131" i="5"/>
  <c r="H131" i="5" s="1"/>
  <c r="J131" i="5" s="1"/>
  <c r="G132" i="5"/>
  <c r="H132" i="5" s="1"/>
  <c r="J132" i="5" s="1"/>
  <c r="G133" i="5"/>
  <c r="H133" i="5" s="1"/>
  <c r="J133" i="5" s="1"/>
  <c r="G134" i="5"/>
  <c r="H134" i="5" s="1"/>
  <c r="J134" i="5" s="1"/>
  <c r="G135" i="5"/>
  <c r="H135" i="5" s="1"/>
  <c r="J135" i="5" s="1"/>
  <c r="G136" i="5"/>
  <c r="H136" i="5" s="1"/>
  <c r="J136" i="5" s="1"/>
  <c r="G137" i="5"/>
  <c r="H137" i="5" s="1"/>
  <c r="J137" i="5" s="1"/>
  <c r="G138" i="5"/>
  <c r="H138" i="5" s="1"/>
  <c r="J138" i="5" s="1"/>
  <c r="G139" i="5"/>
  <c r="H139" i="5" s="1"/>
  <c r="J139" i="5" s="1"/>
  <c r="G140" i="5"/>
  <c r="H140" i="5" s="1"/>
  <c r="J140" i="5" s="1"/>
  <c r="G141" i="5"/>
  <c r="H141" i="5" s="1"/>
  <c r="J141" i="5" s="1"/>
  <c r="G142" i="5"/>
  <c r="H142" i="5" s="1"/>
  <c r="J142" i="5" s="1"/>
  <c r="G143" i="5"/>
  <c r="H143" i="5" s="1"/>
  <c r="J143" i="5" s="1"/>
  <c r="G144" i="5"/>
  <c r="H144" i="5" s="1"/>
  <c r="J144" i="5" s="1"/>
  <c r="G145" i="5"/>
  <c r="H145" i="5" s="1"/>
  <c r="J145" i="5" s="1"/>
  <c r="G146" i="5"/>
  <c r="H146" i="5" s="1"/>
  <c r="J146" i="5" s="1"/>
  <c r="G147" i="5"/>
  <c r="H147" i="5" s="1"/>
  <c r="J147" i="5" s="1"/>
  <c r="G148" i="5"/>
  <c r="H148" i="5" s="1"/>
  <c r="J148" i="5" s="1"/>
  <c r="G149" i="5"/>
  <c r="H149" i="5" s="1"/>
  <c r="J149" i="5" s="1"/>
  <c r="G150" i="5"/>
  <c r="H150" i="5" s="1"/>
  <c r="J150" i="5" s="1"/>
  <c r="G151" i="5"/>
  <c r="H151" i="5" s="1"/>
  <c r="J151" i="5" s="1"/>
  <c r="G152" i="5"/>
  <c r="H152" i="5" s="1"/>
  <c r="J152" i="5" s="1"/>
  <c r="G153" i="5"/>
  <c r="H153" i="5" s="1"/>
  <c r="J153" i="5" s="1"/>
  <c r="G154" i="5"/>
  <c r="H154" i="5" s="1"/>
  <c r="J154" i="5" s="1"/>
  <c r="G155" i="5"/>
  <c r="H155" i="5" s="1"/>
  <c r="J155" i="5" s="1"/>
  <c r="G156" i="5"/>
  <c r="H156" i="5" s="1"/>
  <c r="J156" i="5" s="1"/>
  <c r="G157" i="5"/>
  <c r="H157" i="5" s="1"/>
  <c r="J157" i="5" s="1"/>
  <c r="G158" i="5"/>
  <c r="H158" i="5" s="1"/>
  <c r="J158" i="5" s="1"/>
  <c r="G159" i="5"/>
  <c r="H159" i="5" s="1"/>
  <c r="J159" i="5" s="1"/>
  <c r="G160" i="5"/>
  <c r="H160" i="5" s="1"/>
  <c r="J160" i="5" s="1"/>
  <c r="G161" i="5"/>
  <c r="H161" i="5" s="1"/>
  <c r="J161" i="5" s="1"/>
  <c r="G162" i="5"/>
  <c r="H162" i="5" s="1"/>
  <c r="J162" i="5" s="1"/>
  <c r="G163" i="5"/>
  <c r="H163" i="5" s="1"/>
  <c r="J163" i="5" s="1"/>
  <c r="G164" i="5"/>
  <c r="H164" i="5" s="1"/>
  <c r="J164" i="5" s="1"/>
  <c r="G165" i="5"/>
  <c r="H165" i="5" s="1"/>
  <c r="J165" i="5" s="1"/>
  <c r="G166" i="5"/>
  <c r="H166" i="5" s="1"/>
  <c r="J166" i="5" s="1"/>
  <c r="G167" i="5"/>
  <c r="H167" i="5" s="1"/>
  <c r="J167" i="5" s="1"/>
  <c r="G168" i="5"/>
  <c r="H168" i="5" s="1"/>
  <c r="J168" i="5" s="1"/>
  <c r="G169" i="5"/>
  <c r="H169" i="5" s="1"/>
  <c r="J169" i="5" s="1"/>
  <c r="G170" i="5"/>
  <c r="H170" i="5" s="1"/>
  <c r="J170" i="5" s="1"/>
  <c r="G171" i="5"/>
  <c r="H171" i="5" s="1"/>
  <c r="J171" i="5" s="1"/>
  <c r="G172" i="5"/>
  <c r="H172" i="5" s="1"/>
  <c r="J172" i="5" s="1"/>
  <c r="G173" i="5"/>
  <c r="H173" i="5" s="1"/>
  <c r="J173" i="5" s="1"/>
  <c r="G174" i="5"/>
  <c r="H174" i="5" s="1"/>
  <c r="J174" i="5" s="1"/>
  <c r="G175" i="5"/>
  <c r="H175" i="5" s="1"/>
  <c r="J175" i="5" s="1"/>
  <c r="G176" i="5"/>
  <c r="H176" i="5" s="1"/>
  <c r="J176" i="5" s="1"/>
  <c r="G177" i="5"/>
  <c r="H177" i="5" s="1"/>
  <c r="J177" i="5" s="1"/>
  <c r="G178" i="5"/>
  <c r="H178" i="5" s="1"/>
  <c r="J178" i="5" s="1"/>
  <c r="G179" i="5"/>
  <c r="H179" i="5" s="1"/>
  <c r="J179" i="5" s="1"/>
  <c r="G180" i="5"/>
  <c r="H180" i="5" s="1"/>
  <c r="J180" i="5" s="1"/>
  <c r="G181" i="5"/>
  <c r="H181" i="5" s="1"/>
  <c r="J181" i="5" s="1"/>
  <c r="G182" i="5"/>
  <c r="H182" i="5" s="1"/>
  <c r="J182" i="5" s="1"/>
  <c r="G183" i="5"/>
  <c r="H183" i="5" s="1"/>
  <c r="J183" i="5" s="1"/>
  <c r="G184" i="5"/>
  <c r="H184" i="5" s="1"/>
  <c r="J184" i="5" s="1"/>
  <c r="G185" i="5"/>
  <c r="H185" i="5" s="1"/>
  <c r="J185" i="5" s="1"/>
  <c r="G186" i="5"/>
  <c r="H186" i="5" s="1"/>
  <c r="J186" i="5" s="1"/>
  <c r="G187" i="5"/>
  <c r="H187" i="5" s="1"/>
  <c r="J187" i="5" s="1"/>
  <c r="G188" i="5"/>
  <c r="H188" i="5" s="1"/>
  <c r="J188" i="5" s="1"/>
  <c r="G189" i="5"/>
  <c r="H189" i="5" s="1"/>
  <c r="J189" i="5" s="1"/>
  <c r="G190" i="5"/>
  <c r="H190" i="5" s="1"/>
  <c r="J190" i="5" s="1"/>
  <c r="G191" i="5"/>
  <c r="H191" i="5" s="1"/>
  <c r="J191" i="5" s="1"/>
  <c r="G192" i="5"/>
  <c r="H192" i="5" s="1"/>
  <c r="J192" i="5" s="1"/>
  <c r="G193" i="5"/>
  <c r="H193" i="5" s="1"/>
  <c r="J193" i="5" s="1"/>
  <c r="G194" i="5"/>
  <c r="H194" i="5" s="1"/>
  <c r="J194" i="5" s="1"/>
  <c r="G195" i="5"/>
  <c r="H195" i="5" s="1"/>
  <c r="J195" i="5" s="1"/>
  <c r="G196" i="5"/>
  <c r="H196" i="5" s="1"/>
  <c r="J196" i="5" s="1"/>
  <c r="G197" i="5"/>
  <c r="H197" i="5" s="1"/>
  <c r="J197" i="5" s="1"/>
  <c r="G198" i="5"/>
  <c r="H198" i="5" s="1"/>
  <c r="J198" i="5" s="1"/>
  <c r="G199" i="5"/>
  <c r="H199" i="5" s="1"/>
  <c r="J199" i="5" s="1"/>
  <c r="G200" i="5"/>
  <c r="H200" i="5" s="1"/>
  <c r="J200" i="5" s="1"/>
  <c r="G201" i="5"/>
  <c r="H201" i="5" s="1"/>
  <c r="J201" i="5" s="1"/>
  <c r="G202" i="5"/>
  <c r="H202" i="5" s="1"/>
  <c r="J202" i="5" s="1"/>
  <c r="G203" i="5"/>
  <c r="H203" i="5" s="1"/>
  <c r="J203" i="5" s="1"/>
  <c r="G204" i="5"/>
  <c r="H204" i="5" s="1"/>
  <c r="J204" i="5" s="1"/>
  <c r="G205" i="5"/>
  <c r="H205" i="5" s="1"/>
  <c r="J205" i="5" s="1"/>
  <c r="G206" i="5"/>
  <c r="H206" i="5" s="1"/>
  <c r="J206" i="5" s="1"/>
  <c r="G207" i="5"/>
  <c r="H207" i="5" s="1"/>
  <c r="J207" i="5" s="1"/>
  <c r="G208" i="5"/>
  <c r="H208" i="5" s="1"/>
  <c r="J208" i="5" s="1"/>
  <c r="G209" i="5"/>
  <c r="H209" i="5" s="1"/>
  <c r="J209" i="5" s="1"/>
  <c r="G210" i="5"/>
  <c r="H210" i="5" s="1"/>
  <c r="J210" i="5" s="1"/>
  <c r="G211" i="5"/>
  <c r="H211" i="5" s="1"/>
  <c r="J211" i="5" s="1"/>
  <c r="G212" i="5"/>
  <c r="H212" i="5" s="1"/>
  <c r="J212" i="5" s="1"/>
  <c r="G213" i="5"/>
  <c r="H213" i="5" s="1"/>
  <c r="J213" i="5" s="1"/>
  <c r="G214" i="5"/>
  <c r="H214" i="5" s="1"/>
  <c r="J214" i="5" s="1"/>
  <c r="G215" i="5"/>
  <c r="H215" i="5" s="1"/>
  <c r="J215" i="5" s="1"/>
  <c r="G216" i="5"/>
  <c r="H216" i="5" s="1"/>
  <c r="J216" i="5" s="1"/>
  <c r="G217" i="5"/>
  <c r="H217" i="5" s="1"/>
  <c r="J217" i="5" s="1"/>
  <c r="G218" i="5"/>
  <c r="H218" i="5" s="1"/>
  <c r="J218" i="5" s="1"/>
  <c r="G219" i="5"/>
  <c r="H219" i="5" s="1"/>
  <c r="J219" i="5" s="1"/>
  <c r="G220" i="5"/>
  <c r="H220" i="5" s="1"/>
  <c r="J220" i="5" s="1"/>
  <c r="G221" i="5"/>
  <c r="H221" i="5" s="1"/>
  <c r="J221" i="5" s="1"/>
  <c r="G222" i="5"/>
  <c r="H222" i="5" s="1"/>
  <c r="J222" i="5" s="1"/>
  <c r="G223" i="5"/>
  <c r="H223" i="5" s="1"/>
  <c r="J223" i="5" s="1"/>
  <c r="G224" i="5"/>
  <c r="H224" i="5" s="1"/>
  <c r="J224" i="5" s="1"/>
  <c r="G225" i="5"/>
  <c r="H225" i="5" s="1"/>
  <c r="J225" i="5" s="1"/>
  <c r="G226" i="5"/>
  <c r="H226" i="5" s="1"/>
  <c r="J226" i="5" s="1"/>
  <c r="G227" i="5"/>
  <c r="H227" i="5" s="1"/>
  <c r="J227" i="5" s="1"/>
  <c r="G228" i="5"/>
  <c r="H228" i="5" s="1"/>
  <c r="J228" i="5" s="1"/>
  <c r="G229" i="5"/>
  <c r="H229" i="5" s="1"/>
  <c r="J229" i="5" s="1"/>
  <c r="G230" i="5"/>
  <c r="H230" i="5" s="1"/>
  <c r="J230" i="5" s="1"/>
  <c r="G231" i="5"/>
  <c r="H231" i="5" s="1"/>
  <c r="J231" i="5" s="1"/>
  <c r="G232" i="5"/>
  <c r="H232" i="5" s="1"/>
  <c r="J232" i="5" s="1"/>
  <c r="G233" i="5"/>
  <c r="H233" i="5" s="1"/>
  <c r="J233" i="5" s="1"/>
  <c r="G234" i="5"/>
  <c r="H234" i="5" s="1"/>
  <c r="J234" i="5" s="1"/>
  <c r="G235" i="5"/>
  <c r="H235" i="5" s="1"/>
  <c r="J235" i="5" s="1"/>
  <c r="G236" i="5"/>
  <c r="H236" i="5" s="1"/>
  <c r="J236" i="5" s="1"/>
  <c r="G237" i="5"/>
  <c r="H237" i="5" s="1"/>
  <c r="J237" i="5" s="1"/>
  <c r="G238" i="5"/>
  <c r="H238" i="5" s="1"/>
  <c r="J238" i="5" s="1"/>
  <c r="G239" i="5"/>
  <c r="H239" i="5" s="1"/>
  <c r="J239" i="5" s="1"/>
  <c r="G240" i="5"/>
  <c r="H240" i="5" s="1"/>
  <c r="J240" i="5" s="1"/>
  <c r="G241" i="5"/>
  <c r="H241" i="5" s="1"/>
  <c r="J241" i="5" s="1"/>
  <c r="G242" i="5"/>
  <c r="H242" i="5" s="1"/>
  <c r="J242" i="5" s="1"/>
  <c r="G3" i="5"/>
  <c r="H3" i="5" s="1"/>
  <c r="J3" i="5" s="1"/>
  <c r="H243" i="7"/>
  <c r="I243" i="7" s="1"/>
  <c r="K243" i="7" s="1"/>
  <c r="H245" i="7"/>
  <c r="I245" i="7" s="1"/>
  <c r="K245" i="7" s="1"/>
  <c r="H248" i="7"/>
  <c r="I248" i="7" s="1"/>
  <c r="K248" i="7" s="1"/>
  <c r="H230" i="7"/>
  <c r="I230" i="7" s="1"/>
  <c r="K230" i="7" s="1"/>
  <c r="H251" i="7"/>
  <c r="I251" i="7" s="1"/>
  <c r="K251" i="7" s="1"/>
  <c r="H229" i="7"/>
  <c r="I229" i="7" s="1"/>
  <c r="K229" i="7" s="1"/>
  <c r="H233" i="7"/>
  <c r="I233" i="7" s="1"/>
  <c r="K233" i="7" s="1"/>
  <c r="H234" i="7"/>
  <c r="I234" i="7" s="1"/>
  <c r="K234" i="7" s="1"/>
  <c r="H257" i="7"/>
  <c r="I257" i="7" s="1"/>
  <c r="K257" i="7" s="1"/>
  <c r="H240" i="7"/>
  <c r="I240" i="7" s="1"/>
  <c r="K240" i="7" s="1"/>
  <c r="H239" i="7"/>
  <c r="I239" i="7" s="1"/>
  <c r="K239" i="7" s="1"/>
  <c r="H241" i="7"/>
  <c r="I241" i="7" s="1"/>
  <c r="K241" i="7" s="1"/>
  <c r="H252" i="7"/>
  <c r="I252" i="7" s="1"/>
  <c r="K252" i="7" s="1"/>
  <c r="H236" i="7"/>
  <c r="I236" i="7" s="1"/>
  <c r="K236" i="7" s="1"/>
  <c r="H249" i="7"/>
  <c r="I249" i="7" s="1"/>
  <c r="K249" i="7" s="1"/>
  <c r="H242" i="7"/>
  <c r="I242" i="7" s="1"/>
  <c r="K242" i="7" s="1"/>
  <c r="H247" i="7"/>
  <c r="I247" i="7" s="1"/>
  <c r="K247" i="7" s="1"/>
  <c r="H250" i="7"/>
  <c r="I250" i="7" s="1"/>
  <c r="K250" i="7" s="1"/>
  <c r="H235" i="7"/>
  <c r="I235" i="7" s="1"/>
  <c r="K235" i="7" s="1"/>
  <c r="H258" i="7"/>
  <c r="I258" i="7" s="1"/>
  <c r="K258" i="7" s="1"/>
  <c r="H244" i="7"/>
  <c r="I244" i="7" s="1"/>
  <c r="K244" i="7" s="1"/>
  <c r="H232" i="7"/>
  <c r="I232" i="7" s="1"/>
  <c r="K232" i="7" s="1"/>
  <c r="H238" i="7"/>
  <c r="I238" i="7" s="1"/>
  <c r="K238" i="7" s="1"/>
  <c r="H237" i="7"/>
  <c r="I237" i="7" s="1"/>
  <c r="K237" i="7" s="1"/>
  <c r="H231" i="7"/>
  <c r="I231" i="7" s="1"/>
  <c r="K231" i="7" s="1"/>
  <c r="H228" i="7"/>
  <c r="I228" i="7" s="1"/>
  <c r="K228" i="7" s="1"/>
  <c r="H256" i="7"/>
  <c r="I256" i="7" s="1"/>
  <c r="K256" i="7" s="1"/>
  <c r="H246" i="7"/>
  <c r="I246" i="7" s="1"/>
  <c r="K246" i="7" s="1"/>
  <c r="H227" i="7"/>
  <c r="I227" i="7" s="1"/>
  <c r="K227" i="7" s="1"/>
  <c r="H253" i="7"/>
  <c r="I253" i="7" s="1"/>
  <c r="K253" i="7" s="1"/>
  <c r="H254" i="7"/>
  <c r="I254" i="7" s="1"/>
  <c r="K254" i="7" s="1"/>
  <c r="H255" i="7"/>
  <c r="I255" i="7" s="1"/>
  <c r="K255" i="7" s="1"/>
  <c r="H4" i="7"/>
  <c r="I4" i="7" s="1"/>
  <c r="K4" i="7" s="1"/>
  <c r="H5" i="7"/>
  <c r="I5" i="7" s="1"/>
  <c r="K5" i="7" s="1"/>
  <c r="H6" i="7"/>
  <c r="I6" i="7" s="1"/>
  <c r="K6" i="7" s="1"/>
  <c r="H7" i="7"/>
  <c r="I7" i="7" s="1"/>
  <c r="K7" i="7" s="1"/>
  <c r="H8" i="7"/>
  <c r="I8" i="7" s="1"/>
  <c r="K8" i="7" s="1"/>
  <c r="H9" i="7"/>
  <c r="I9" i="7" s="1"/>
  <c r="K9" i="7" s="1"/>
  <c r="H10" i="7"/>
  <c r="I10" i="7" s="1"/>
  <c r="K10" i="7" s="1"/>
  <c r="H11" i="7"/>
  <c r="I11" i="7" s="1"/>
  <c r="K11" i="7" s="1"/>
  <c r="H12" i="7"/>
  <c r="I12" i="7" s="1"/>
  <c r="K12" i="7" s="1"/>
  <c r="H13" i="7"/>
  <c r="I13" i="7" s="1"/>
  <c r="K13" i="7" s="1"/>
  <c r="H14" i="7"/>
  <c r="I14" i="7" s="1"/>
  <c r="K14" i="7" s="1"/>
  <c r="H15" i="7"/>
  <c r="I15" i="7" s="1"/>
  <c r="K15" i="7" s="1"/>
  <c r="H16" i="7"/>
  <c r="I16" i="7" s="1"/>
  <c r="K16" i="7" s="1"/>
  <c r="H17" i="7"/>
  <c r="I17" i="7" s="1"/>
  <c r="K17" i="7" s="1"/>
  <c r="H18" i="7"/>
  <c r="I18" i="7" s="1"/>
  <c r="K18" i="7" s="1"/>
  <c r="H19" i="7"/>
  <c r="I19" i="7" s="1"/>
  <c r="K19" i="7" s="1"/>
  <c r="H20" i="7"/>
  <c r="I20" i="7" s="1"/>
  <c r="K20" i="7" s="1"/>
  <c r="H21" i="7"/>
  <c r="I21" i="7" s="1"/>
  <c r="K21" i="7" s="1"/>
  <c r="H22" i="7"/>
  <c r="I22" i="7" s="1"/>
  <c r="K22" i="7" s="1"/>
  <c r="H23" i="7"/>
  <c r="I23" i="7" s="1"/>
  <c r="K23" i="7" s="1"/>
  <c r="H24" i="7"/>
  <c r="I24" i="7" s="1"/>
  <c r="K24" i="7" s="1"/>
  <c r="H25" i="7"/>
  <c r="I25" i="7" s="1"/>
  <c r="K25" i="7" s="1"/>
  <c r="H26" i="7"/>
  <c r="I26" i="7" s="1"/>
  <c r="K26" i="7" s="1"/>
  <c r="H27" i="7"/>
  <c r="I27" i="7" s="1"/>
  <c r="K27" i="7" s="1"/>
  <c r="H28" i="7"/>
  <c r="I28" i="7" s="1"/>
  <c r="K28" i="7" s="1"/>
  <c r="H29" i="7"/>
  <c r="I29" i="7" s="1"/>
  <c r="K29" i="7" s="1"/>
  <c r="H30" i="7"/>
  <c r="I30" i="7" s="1"/>
  <c r="K30" i="7" s="1"/>
  <c r="H31" i="7"/>
  <c r="I31" i="7" s="1"/>
  <c r="K31" i="7" s="1"/>
  <c r="H32" i="7"/>
  <c r="I32" i="7" s="1"/>
  <c r="K32" i="7" s="1"/>
  <c r="H33" i="7"/>
  <c r="I33" i="7" s="1"/>
  <c r="K33" i="7" s="1"/>
  <c r="H34" i="7"/>
  <c r="I34" i="7" s="1"/>
  <c r="K34" i="7" s="1"/>
  <c r="H53" i="7"/>
  <c r="I53" i="7" s="1"/>
  <c r="K53" i="7" s="1"/>
  <c r="H38" i="7"/>
  <c r="I38" i="7" s="1"/>
  <c r="K38" i="7" s="1"/>
  <c r="H51" i="7"/>
  <c r="I51" i="7" s="1"/>
  <c r="K51" i="7" s="1"/>
  <c r="H56" i="7"/>
  <c r="I56" i="7" s="1"/>
  <c r="K56" i="7" s="1"/>
  <c r="H59" i="7"/>
  <c r="I59" i="7" s="1"/>
  <c r="K59" i="7" s="1"/>
  <c r="H41" i="7"/>
  <c r="I41" i="7" s="1"/>
  <c r="K41" i="7" s="1"/>
  <c r="H37" i="7"/>
  <c r="I37" i="7" s="1"/>
  <c r="K37" i="7" s="1"/>
  <c r="H42" i="7"/>
  <c r="I42" i="7" s="1"/>
  <c r="K42" i="7" s="1"/>
  <c r="H48" i="7"/>
  <c r="I48" i="7" s="1"/>
  <c r="K48" i="7" s="1"/>
  <c r="H47" i="7"/>
  <c r="I47" i="7" s="1"/>
  <c r="K47" i="7" s="1"/>
  <c r="H49" i="7"/>
  <c r="I49" i="7" s="1"/>
  <c r="K49" i="7" s="1"/>
  <c r="H65" i="7"/>
  <c r="I65" i="7" s="1"/>
  <c r="K65" i="7" s="1"/>
  <c r="H44" i="7"/>
  <c r="I44" i="7" s="1"/>
  <c r="K44" i="7" s="1"/>
  <c r="H50" i="7"/>
  <c r="I50" i="7" s="1"/>
  <c r="K50" i="7" s="1"/>
  <c r="H60" i="7"/>
  <c r="I60" i="7" s="1"/>
  <c r="K60" i="7" s="1"/>
  <c r="H57" i="7"/>
  <c r="I57" i="7" s="1"/>
  <c r="K57" i="7" s="1"/>
  <c r="H43" i="7"/>
  <c r="I43" i="7" s="1"/>
  <c r="K43" i="7" s="1"/>
  <c r="H58" i="7"/>
  <c r="I58" i="7" s="1"/>
  <c r="K58" i="7" s="1"/>
  <c r="H55" i="7"/>
  <c r="I55" i="7" s="1"/>
  <c r="K55" i="7" s="1"/>
  <c r="H66" i="7"/>
  <c r="I66" i="7" s="1"/>
  <c r="K66" i="7" s="1"/>
  <c r="H46" i="7"/>
  <c r="I46" i="7" s="1"/>
  <c r="K46" i="7" s="1"/>
  <c r="H45" i="7"/>
  <c r="I45" i="7" s="1"/>
  <c r="K45" i="7" s="1"/>
  <c r="H52" i="7"/>
  <c r="I52" i="7" s="1"/>
  <c r="K52" i="7" s="1"/>
  <c r="H40" i="7"/>
  <c r="I40" i="7" s="1"/>
  <c r="K40" i="7" s="1"/>
  <c r="H39" i="7"/>
  <c r="I39" i="7" s="1"/>
  <c r="K39" i="7" s="1"/>
  <c r="H54" i="7"/>
  <c r="I54" i="7" s="1"/>
  <c r="K54" i="7" s="1"/>
  <c r="H36" i="7"/>
  <c r="I36" i="7" s="1"/>
  <c r="K36" i="7" s="1"/>
  <c r="H64" i="7"/>
  <c r="I64" i="7" s="1"/>
  <c r="K64" i="7" s="1"/>
  <c r="H62" i="7"/>
  <c r="I62" i="7" s="1"/>
  <c r="K62" i="7" s="1"/>
  <c r="H35" i="7"/>
  <c r="I35" i="7" s="1"/>
  <c r="K35" i="7" s="1"/>
  <c r="H61" i="7"/>
  <c r="I61" i="7" s="1"/>
  <c r="K61" i="7" s="1"/>
  <c r="H63" i="7"/>
  <c r="I63" i="7" s="1"/>
  <c r="K63" i="7" s="1"/>
  <c r="H85" i="7"/>
  <c r="I85" i="7" s="1"/>
  <c r="K85" i="7" s="1"/>
  <c r="H88" i="7"/>
  <c r="I88" i="7" s="1"/>
  <c r="K88" i="7" s="1"/>
  <c r="H83" i="7"/>
  <c r="I83" i="7" s="1"/>
  <c r="K83" i="7" s="1"/>
  <c r="H70" i="7"/>
  <c r="I70" i="7" s="1"/>
  <c r="K70" i="7" s="1"/>
  <c r="H73" i="7"/>
  <c r="I73" i="7" s="1"/>
  <c r="K73" i="7" s="1"/>
  <c r="H91" i="7"/>
  <c r="I91" i="7" s="1"/>
  <c r="K91" i="7" s="1"/>
  <c r="H69" i="7"/>
  <c r="I69" i="7" s="1"/>
  <c r="K69" i="7" s="1"/>
  <c r="H74" i="7"/>
  <c r="I74" i="7" s="1"/>
  <c r="K74" i="7" s="1"/>
  <c r="H80" i="7"/>
  <c r="I80" i="7" s="1"/>
  <c r="K80" i="7" s="1"/>
  <c r="H97" i="7"/>
  <c r="I97" i="7" s="1"/>
  <c r="K97" i="7" s="1"/>
  <c r="H81" i="7"/>
  <c r="I81" i="7" s="1"/>
  <c r="K81" i="7" s="1"/>
  <c r="H79" i="7"/>
  <c r="I79" i="7" s="1"/>
  <c r="K79" i="7" s="1"/>
  <c r="H76" i="7"/>
  <c r="I76" i="7" s="1"/>
  <c r="K76" i="7" s="1"/>
  <c r="H82" i="7"/>
  <c r="I82" i="7" s="1"/>
  <c r="K82" i="7" s="1"/>
  <c r="H92" i="7"/>
  <c r="I92" i="7" s="1"/>
  <c r="K92" i="7" s="1"/>
  <c r="H89" i="7"/>
  <c r="I89" i="7" s="1"/>
  <c r="K89" i="7" s="1"/>
  <c r="H90" i="7"/>
  <c r="I90" i="7" s="1"/>
  <c r="K90" i="7" s="1"/>
  <c r="H75" i="7"/>
  <c r="I75" i="7" s="1"/>
  <c r="K75" i="7" s="1"/>
  <c r="H87" i="7"/>
  <c r="I87" i="7" s="1"/>
  <c r="K87" i="7" s="1"/>
  <c r="H98" i="7"/>
  <c r="I98" i="7" s="1"/>
  <c r="K98" i="7" s="1"/>
  <c r="H78" i="7"/>
  <c r="I78" i="7" s="1"/>
  <c r="K78" i="7" s="1"/>
  <c r="H72" i="7"/>
  <c r="I72" i="7" s="1"/>
  <c r="K72" i="7" s="1"/>
  <c r="H77" i="7"/>
  <c r="I77" i="7" s="1"/>
  <c r="K77" i="7" s="1"/>
  <c r="H84" i="7"/>
  <c r="I84" i="7" s="1"/>
  <c r="K84" i="7" s="1"/>
  <c r="H71" i="7"/>
  <c r="I71" i="7" s="1"/>
  <c r="K71" i="7" s="1"/>
  <c r="H86" i="7"/>
  <c r="I86" i="7" s="1"/>
  <c r="K86" i="7" s="1"/>
  <c r="H68" i="7"/>
  <c r="I68" i="7" s="1"/>
  <c r="K68" i="7" s="1"/>
  <c r="H96" i="7"/>
  <c r="I96" i="7" s="1"/>
  <c r="K96" i="7" s="1"/>
  <c r="H94" i="7"/>
  <c r="I94" i="7" s="1"/>
  <c r="K94" i="7" s="1"/>
  <c r="H93" i="7"/>
  <c r="I93" i="7" s="1"/>
  <c r="K93" i="7" s="1"/>
  <c r="H67" i="7"/>
  <c r="I67" i="7" s="1"/>
  <c r="K67" i="7" s="1"/>
  <c r="H95" i="7"/>
  <c r="I95" i="7" s="1"/>
  <c r="K95" i="7" s="1"/>
  <c r="H117" i="7"/>
  <c r="I117" i="7" s="1"/>
  <c r="K117" i="7" s="1"/>
  <c r="H115" i="7"/>
  <c r="I115" i="7" s="1"/>
  <c r="K115" i="7" s="1"/>
  <c r="H120" i="7"/>
  <c r="I120" i="7" s="1"/>
  <c r="K120" i="7" s="1"/>
  <c r="H102" i="7"/>
  <c r="I102" i="7" s="1"/>
  <c r="K102" i="7" s="1"/>
  <c r="H101" i="7"/>
  <c r="I101" i="7" s="1"/>
  <c r="K101" i="7" s="1"/>
  <c r="H105" i="7"/>
  <c r="I105" i="7" s="1"/>
  <c r="K105" i="7" s="1"/>
  <c r="H123" i="7"/>
  <c r="I123" i="7" s="1"/>
  <c r="K123" i="7" s="1"/>
  <c r="H106" i="7"/>
  <c r="I106" i="7" s="1"/>
  <c r="K106" i="7" s="1"/>
  <c r="H111" i="7"/>
  <c r="I111" i="7" s="1"/>
  <c r="K111" i="7" s="1"/>
  <c r="H112" i="7"/>
  <c r="I112" i="7" s="1"/>
  <c r="K112" i="7" s="1"/>
  <c r="H129" i="7"/>
  <c r="I129" i="7" s="1"/>
  <c r="K129" i="7" s="1"/>
  <c r="H113" i="7"/>
  <c r="I113" i="7" s="1"/>
  <c r="K113" i="7" s="1"/>
  <c r="H108" i="7"/>
  <c r="I108" i="7" s="1"/>
  <c r="K108" i="7" s="1"/>
  <c r="H124" i="7"/>
  <c r="I124" i="7" s="1"/>
  <c r="K124" i="7" s="1"/>
  <c r="H121" i="7"/>
  <c r="I121" i="7" s="1"/>
  <c r="K121" i="7" s="1"/>
  <c r="H114" i="7"/>
  <c r="I114" i="7" s="1"/>
  <c r="K114" i="7" s="1"/>
  <c r="H130" i="7"/>
  <c r="I130" i="7" s="1"/>
  <c r="K130" i="7" s="1"/>
  <c r="H119" i="7"/>
  <c r="I119" i="7" s="1"/>
  <c r="K119" i="7" s="1"/>
  <c r="H107" i="7"/>
  <c r="I107" i="7" s="1"/>
  <c r="K107" i="7" s="1"/>
  <c r="H122" i="7"/>
  <c r="I122" i="7" s="1"/>
  <c r="K122" i="7" s="1"/>
  <c r="H110" i="7"/>
  <c r="I110" i="7" s="1"/>
  <c r="K110" i="7" s="1"/>
  <c r="H116" i="7"/>
  <c r="I116" i="7" s="1"/>
  <c r="K116" i="7" s="1"/>
  <c r="H104" i="7"/>
  <c r="I104" i="7" s="1"/>
  <c r="K104" i="7" s="1"/>
  <c r="H109" i="7"/>
  <c r="I109" i="7" s="1"/>
  <c r="K109" i="7" s="1"/>
  <c r="H100" i="7"/>
  <c r="I100" i="7" s="1"/>
  <c r="K100" i="7" s="1"/>
  <c r="H103" i="7"/>
  <c r="I103" i="7" s="1"/>
  <c r="K103" i="7" s="1"/>
  <c r="H118" i="7"/>
  <c r="I118" i="7" s="1"/>
  <c r="K118" i="7" s="1"/>
  <c r="H128" i="7"/>
  <c r="I128" i="7" s="1"/>
  <c r="K128" i="7" s="1"/>
  <c r="H125" i="7"/>
  <c r="I125" i="7" s="1"/>
  <c r="K125" i="7" s="1"/>
  <c r="H126" i="7"/>
  <c r="I126" i="7" s="1"/>
  <c r="K126" i="7" s="1"/>
  <c r="H127" i="7"/>
  <c r="I127" i="7" s="1"/>
  <c r="K127" i="7" s="1"/>
  <c r="H99" i="7"/>
  <c r="I99" i="7" s="1"/>
  <c r="K99" i="7" s="1"/>
  <c r="H149" i="7"/>
  <c r="I149" i="7" s="1"/>
  <c r="K149" i="7" s="1"/>
  <c r="H152" i="7"/>
  <c r="I152" i="7" s="1"/>
  <c r="K152" i="7" s="1"/>
  <c r="H147" i="7"/>
  <c r="I147" i="7" s="1"/>
  <c r="K147" i="7" s="1"/>
  <c r="H134" i="7"/>
  <c r="I134" i="7" s="1"/>
  <c r="K134" i="7" s="1"/>
  <c r="H133" i="7"/>
  <c r="I133" i="7" s="1"/>
  <c r="K133" i="7" s="1"/>
  <c r="H155" i="7"/>
  <c r="I155" i="7" s="1"/>
  <c r="K155" i="7" s="1"/>
  <c r="H137" i="7"/>
  <c r="I137" i="7" s="1"/>
  <c r="K137" i="7" s="1"/>
  <c r="H138" i="7"/>
  <c r="I138" i="7" s="1"/>
  <c r="K138" i="7" s="1"/>
  <c r="H143" i="7"/>
  <c r="I143" i="7" s="1"/>
  <c r="K143" i="7" s="1"/>
  <c r="H161" i="7"/>
  <c r="I161" i="7" s="1"/>
  <c r="K161" i="7" s="1"/>
  <c r="H145" i="7"/>
  <c r="I145" i="7" s="1"/>
  <c r="K145" i="7" s="1"/>
  <c r="H144" i="7"/>
  <c r="I144" i="7" s="1"/>
  <c r="K144" i="7" s="1"/>
  <c r="H140" i="7"/>
  <c r="I140" i="7" s="1"/>
  <c r="K140" i="7" s="1"/>
  <c r="H156" i="7"/>
  <c r="I156" i="7" s="1"/>
  <c r="K156" i="7" s="1"/>
  <c r="H153" i="7"/>
  <c r="I153" i="7" s="1"/>
  <c r="K153" i="7" s="1"/>
  <c r="H146" i="7"/>
  <c r="I146" i="7" s="1"/>
  <c r="K146" i="7" s="1"/>
  <c r="H151" i="7"/>
  <c r="I151" i="7" s="1"/>
  <c r="K151" i="7" s="1"/>
  <c r="H154" i="7"/>
  <c r="I154" i="7" s="1"/>
  <c r="K154" i="7" s="1"/>
  <c r="H139" i="7"/>
  <c r="I139" i="7" s="1"/>
  <c r="K139" i="7" s="1"/>
  <c r="H162" i="7"/>
  <c r="I162" i="7" s="1"/>
  <c r="K162" i="7" s="1"/>
  <c r="H142" i="7"/>
  <c r="I142" i="7" s="1"/>
  <c r="K142" i="7" s="1"/>
  <c r="H141" i="7"/>
  <c r="I141" i="7" s="1"/>
  <c r="K141" i="7" s="1"/>
  <c r="H136" i="7"/>
  <c r="I136" i="7" s="1"/>
  <c r="K136" i="7" s="1"/>
  <c r="H148" i="7"/>
  <c r="I148" i="7" s="1"/>
  <c r="K148" i="7" s="1"/>
  <c r="H150" i="7"/>
  <c r="I150" i="7" s="1"/>
  <c r="K150" i="7" s="1"/>
  <c r="H132" i="7"/>
  <c r="I132" i="7" s="1"/>
  <c r="K132" i="7" s="1"/>
  <c r="H135" i="7"/>
  <c r="I135" i="7" s="1"/>
  <c r="K135" i="7" s="1"/>
  <c r="H160" i="7"/>
  <c r="I160" i="7" s="1"/>
  <c r="K160" i="7" s="1"/>
  <c r="H157" i="7"/>
  <c r="I157" i="7" s="1"/>
  <c r="K157" i="7" s="1"/>
  <c r="H131" i="7"/>
  <c r="I131" i="7" s="1"/>
  <c r="K131" i="7" s="1"/>
  <c r="H158" i="7"/>
  <c r="I158" i="7" s="1"/>
  <c r="K158" i="7" s="1"/>
  <c r="H159" i="7"/>
  <c r="I159" i="7" s="1"/>
  <c r="K159" i="7" s="1"/>
  <c r="H181" i="7"/>
  <c r="I181" i="7" s="1"/>
  <c r="K181" i="7" s="1"/>
  <c r="H184" i="7"/>
  <c r="I184" i="7" s="1"/>
  <c r="K184" i="7" s="1"/>
  <c r="H179" i="7"/>
  <c r="I179" i="7" s="1"/>
  <c r="K179" i="7" s="1"/>
  <c r="H166" i="7"/>
  <c r="I166" i="7" s="1"/>
  <c r="K166" i="7" s="1"/>
  <c r="H187" i="7"/>
  <c r="I187" i="7" s="1"/>
  <c r="K187" i="7" s="1"/>
  <c r="H165" i="7"/>
  <c r="I165" i="7" s="1"/>
  <c r="K165" i="7" s="1"/>
  <c r="H170" i="7"/>
  <c r="I170" i="7" s="1"/>
  <c r="K170" i="7" s="1"/>
  <c r="H169" i="7"/>
  <c r="I169" i="7" s="1"/>
  <c r="K169" i="7" s="1"/>
  <c r="H176" i="7"/>
  <c r="I176" i="7" s="1"/>
  <c r="K176" i="7" s="1"/>
  <c r="H177" i="7"/>
  <c r="I177" i="7" s="1"/>
  <c r="K177" i="7" s="1"/>
  <c r="H175" i="7"/>
  <c r="I175" i="7" s="1"/>
  <c r="K175" i="7" s="1"/>
  <c r="H193" i="7"/>
  <c r="I193" i="7" s="1"/>
  <c r="K193" i="7" s="1"/>
  <c r="H178" i="7"/>
  <c r="I178" i="7" s="1"/>
  <c r="K178" i="7" s="1"/>
  <c r="H188" i="7"/>
  <c r="I188" i="7" s="1"/>
  <c r="K188" i="7" s="1"/>
  <c r="H185" i="7"/>
  <c r="I185" i="7" s="1"/>
  <c r="K185" i="7" s="1"/>
  <c r="H172" i="7"/>
  <c r="I172" i="7" s="1"/>
  <c r="K172" i="7" s="1"/>
  <c r="H186" i="7"/>
  <c r="I186" i="7" s="1"/>
  <c r="K186" i="7" s="1"/>
  <c r="H183" i="7"/>
  <c r="I183" i="7" s="1"/>
  <c r="K183" i="7" s="1"/>
  <c r="H171" i="7"/>
  <c r="I171" i="7" s="1"/>
  <c r="K171" i="7" s="1"/>
  <c r="H194" i="7"/>
  <c r="I194" i="7" s="1"/>
  <c r="K194" i="7" s="1"/>
  <c r="H168" i="7"/>
  <c r="I168" i="7" s="1"/>
  <c r="K168" i="7" s="1"/>
  <c r="H174" i="7"/>
  <c r="I174" i="7" s="1"/>
  <c r="K174" i="7" s="1"/>
  <c r="H173" i="7"/>
  <c r="I173" i="7" s="1"/>
  <c r="K173" i="7" s="1"/>
  <c r="H180" i="7"/>
  <c r="I180" i="7" s="1"/>
  <c r="K180" i="7" s="1"/>
  <c r="H164" i="7"/>
  <c r="I164" i="7" s="1"/>
  <c r="K164" i="7" s="1"/>
  <c r="H182" i="7"/>
  <c r="I182" i="7" s="1"/>
  <c r="K182" i="7" s="1"/>
  <c r="H192" i="7"/>
  <c r="I192" i="7" s="1"/>
  <c r="K192" i="7" s="1"/>
  <c r="H167" i="7"/>
  <c r="I167" i="7" s="1"/>
  <c r="K167" i="7" s="1"/>
  <c r="H190" i="7"/>
  <c r="I190" i="7" s="1"/>
  <c r="K190" i="7" s="1"/>
  <c r="H191" i="7"/>
  <c r="I191" i="7" s="1"/>
  <c r="K191" i="7" s="1"/>
  <c r="H189" i="7"/>
  <c r="I189" i="7" s="1"/>
  <c r="K189" i="7" s="1"/>
  <c r="H163" i="7"/>
  <c r="I163" i="7" s="1"/>
  <c r="K163" i="7" s="1"/>
  <c r="H213" i="7"/>
  <c r="I213" i="7" s="1"/>
  <c r="K213" i="7" s="1"/>
  <c r="H216" i="7"/>
  <c r="I216" i="7" s="1"/>
  <c r="K216" i="7" s="1"/>
  <c r="H211" i="7"/>
  <c r="I211" i="7" s="1"/>
  <c r="K211" i="7" s="1"/>
  <c r="H198" i="7"/>
  <c r="I198" i="7" s="1"/>
  <c r="K198" i="7" s="1"/>
  <c r="H219" i="7"/>
  <c r="I219" i="7" s="1"/>
  <c r="K219" i="7" s="1"/>
  <c r="H197" i="7"/>
  <c r="I197" i="7" s="1"/>
  <c r="K197" i="7" s="1"/>
  <c r="H202" i="7"/>
  <c r="I202" i="7" s="1"/>
  <c r="K202" i="7" s="1"/>
  <c r="H201" i="7"/>
  <c r="I201" i="7" s="1"/>
  <c r="K201" i="7" s="1"/>
  <c r="H208" i="7"/>
  <c r="I208" i="7" s="1"/>
  <c r="K208" i="7" s="1"/>
  <c r="H209" i="7"/>
  <c r="I209" i="7" s="1"/>
  <c r="K209" i="7" s="1"/>
  <c r="H207" i="7"/>
  <c r="I207" i="7" s="1"/>
  <c r="K207" i="7" s="1"/>
  <c r="H225" i="7"/>
  <c r="I225" i="7" s="1"/>
  <c r="K225" i="7" s="1"/>
  <c r="H210" i="7"/>
  <c r="I210" i="7" s="1"/>
  <c r="K210" i="7" s="1"/>
  <c r="H220" i="7"/>
  <c r="I220" i="7" s="1"/>
  <c r="K220" i="7" s="1"/>
  <c r="H217" i="7"/>
  <c r="I217" i="7" s="1"/>
  <c r="K217" i="7" s="1"/>
  <c r="H204" i="7"/>
  <c r="I204" i="7" s="1"/>
  <c r="K204" i="7" s="1"/>
  <c r="H218" i="7"/>
  <c r="I218" i="7" s="1"/>
  <c r="K218" i="7" s="1"/>
  <c r="H215" i="7"/>
  <c r="I215" i="7" s="1"/>
  <c r="K215" i="7" s="1"/>
  <c r="H203" i="7"/>
  <c r="I203" i="7" s="1"/>
  <c r="K203" i="7" s="1"/>
  <c r="H226" i="7"/>
  <c r="I226" i="7" s="1"/>
  <c r="K226" i="7" s="1"/>
  <c r="H200" i="7"/>
  <c r="I200" i="7" s="1"/>
  <c r="K200" i="7" s="1"/>
  <c r="H206" i="7"/>
  <c r="I206" i="7" s="1"/>
  <c r="K206" i="7" s="1"/>
  <c r="H205" i="7"/>
  <c r="I205" i="7" s="1"/>
  <c r="K205" i="7" s="1"/>
  <c r="H212" i="7"/>
  <c r="I212" i="7" s="1"/>
  <c r="K212" i="7" s="1"/>
  <c r="H196" i="7"/>
  <c r="I196" i="7" s="1"/>
  <c r="K196" i="7" s="1"/>
  <c r="H214" i="7"/>
  <c r="I214" i="7" s="1"/>
  <c r="K214" i="7" s="1"/>
  <c r="H224" i="7"/>
  <c r="I224" i="7" s="1"/>
  <c r="K224" i="7" s="1"/>
  <c r="H199" i="7"/>
  <c r="I199" i="7" s="1"/>
  <c r="K199" i="7" s="1"/>
  <c r="H222" i="7"/>
  <c r="I222" i="7" s="1"/>
  <c r="K222" i="7" s="1"/>
  <c r="H223" i="7"/>
  <c r="I223" i="7" s="1"/>
  <c r="K223" i="7" s="1"/>
  <c r="H221" i="7"/>
  <c r="I221" i="7" s="1"/>
  <c r="K221" i="7" s="1"/>
  <c r="H195" i="7"/>
  <c r="I195" i="7" s="1"/>
  <c r="K195" i="7" s="1"/>
  <c r="H3" i="7"/>
  <c r="I3" i="7" s="1"/>
  <c r="K3" i="7" s="1"/>
  <c r="K6" i="3"/>
  <c r="K7" i="3"/>
  <c r="K8" i="3"/>
  <c r="K9" i="3"/>
  <c r="K10" i="3"/>
  <c r="K11" i="3"/>
  <c r="K12" i="3"/>
  <c r="K13" i="3"/>
  <c r="K14" i="3"/>
  <c r="K15" i="3"/>
  <c r="K16" i="3"/>
  <c r="K17" i="3"/>
  <c r="K18" i="3"/>
  <c r="K19" i="3"/>
  <c r="K20" i="3"/>
  <c r="K21" i="3"/>
  <c r="K22" i="3"/>
  <c r="K23" i="3"/>
  <c r="K24" i="3"/>
  <c r="K25" i="3"/>
  <c r="K26" i="3"/>
  <c r="K27" i="3"/>
  <c r="K28" i="3"/>
  <c r="K29" i="3"/>
  <c r="K30" i="3"/>
  <c r="K31" i="3"/>
  <c r="K32" i="3"/>
  <c r="K33" i="3"/>
  <c r="K34" i="3"/>
  <c r="K35" i="3"/>
  <c r="K36" i="3"/>
  <c r="K37" i="3"/>
  <c r="K38" i="3"/>
  <c r="K39" i="3"/>
  <c r="K40" i="3"/>
  <c r="K41" i="3"/>
  <c r="K42" i="3"/>
  <c r="K43" i="3"/>
  <c r="K44" i="3"/>
  <c r="K45" i="3"/>
  <c r="K46" i="3"/>
  <c r="K47" i="3"/>
  <c r="K48" i="3"/>
  <c r="K49" i="3"/>
  <c r="K50" i="3"/>
  <c r="K51" i="3"/>
  <c r="K52" i="3"/>
  <c r="K53" i="3"/>
  <c r="K54" i="3"/>
  <c r="K55" i="3"/>
  <c r="K56" i="3"/>
  <c r="K57" i="3"/>
  <c r="K58" i="3"/>
  <c r="K59" i="3"/>
  <c r="K60" i="3"/>
  <c r="K61" i="3"/>
  <c r="K62" i="3"/>
  <c r="K63" i="3"/>
  <c r="K64" i="3"/>
  <c r="K65" i="3"/>
  <c r="K66" i="3"/>
  <c r="K67" i="3"/>
  <c r="K68" i="3"/>
  <c r="K69" i="3"/>
  <c r="K70" i="3"/>
  <c r="K71" i="3"/>
  <c r="K72" i="3"/>
  <c r="K73" i="3"/>
  <c r="K74" i="3"/>
  <c r="K75" i="3"/>
  <c r="K76" i="3"/>
  <c r="K77" i="3"/>
  <c r="K78" i="3"/>
  <c r="K79" i="3"/>
  <c r="K80" i="3"/>
  <c r="K81" i="3"/>
  <c r="K5" i="3"/>
  <c r="I6" i="3"/>
  <c r="I7" i="3"/>
  <c r="I8" i="3"/>
  <c r="I9" i="3"/>
  <c r="I10" i="3"/>
  <c r="I11" i="3"/>
  <c r="I12" i="3"/>
  <c r="I13" i="3"/>
  <c r="I14" i="3"/>
  <c r="I15" i="3"/>
  <c r="I16" i="3"/>
  <c r="I17" i="3"/>
  <c r="I18" i="3"/>
  <c r="I19" i="3"/>
  <c r="I20" i="3"/>
  <c r="I21" i="3"/>
  <c r="I22" i="3"/>
  <c r="I23" i="3"/>
  <c r="I24" i="3"/>
  <c r="I25" i="3"/>
  <c r="I26" i="3"/>
  <c r="I27" i="3"/>
  <c r="I28" i="3"/>
  <c r="I29" i="3"/>
  <c r="I30" i="3"/>
  <c r="I31" i="3"/>
  <c r="I32" i="3"/>
  <c r="I33" i="3"/>
  <c r="I34" i="3"/>
  <c r="I35" i="3"/>
  <c r="I36" i="3"/>
  <c r="I37" i="3"/>
  <c r="I38" i="3"/>
  <c r="I39" i="3"/>
  <c r="I40" i="3"/>
  <c r="I41" i="3"/>
  <c r="I42" i="3"/>
  <c r="I43" i="3"/>
  <c r="I44" i="3"/>
  <c r="I45" i="3"/>
  <c r="I46" i="3"/>
  <c r="I47" i="3"/>
  <c r="I48" i="3"/>
  <c r="I49" i="3"/>
  <c r="I50" i="3"/>
  <c r="I51" i="3"/>
  <c r="I52" i="3"/>
  <c r="I53" i="3"/>
  <c r="I54" i="3"/>
  <c r="I55" i="3"/>
  <c r="I56" i="3"/>
  <c r="I57" i="3"/>
  <c r="I58" i="3"/>
  <c r="I59" i="3"/>
  <c r="I60" i="3"/>
  <c r="I61" i="3"/>
  <c r="I62" i="3"/>
  <c r="I63" i="3"/>
  <c r="I64" i="3"/>
  <c r="I65" i="3"/>
  <c r="I66" i="3"/>
  <c r="I67" i="3"/>
  <c r="I68" i="3"/>
  <c r="I69" i="3"/>
  <c r="I70" i="3"/>
  <c r="I71" i="3"/>
  <c r="I72" i="3"/>
  <c r="I73" i="3"/>
  <c r="I74" i="3"/>
  <c r="I75" i="3"/>
  <c r="I76" i="3"/>
  <c r="I77" i="3"/>
  <c r="I78" i="3"/>
  <c r="I79" i="3"/>
  <c r="I80" i="3"/>
  <c r="I81" i="3"/>
  <c r="I5" i="3"/>
  <c r="H15" i="3"/>
  <c r="H16" i="3"/>
  <c r="H17" i="3"/>
  <c r="H18" i="3"/>
  <c r="H19" i="3"/>
  <c r="H20" i="3"/>
  <c r="H21" i="3"/>
  <c r="H22" i="3"/>
  <c r="H23" i="3"/>
  <c r="H24" i="3"/>
  <c r="H25" i="3"/>
  <c r="H26" i="3"/>
  <c r="H27" i="3"/>
  <c r="H28" i="3"/>
  <c r="H29" i="3"/>
  <c r="H30" i="3"/>
  <c r="H31" i="3"/>
  <c r="H32" i="3"/>
  <c r="H33" i="3"/>
  <c r="H34" i="3"/>
  <c r="H35" i="3"/>
  <c r="H36" i="3"/>
  <c r="H37" i="3"/>
  <c r="H38" i="3"/>
  <c r="H39" i="3"/>
  <c r="H40" i="3"/>
  <c r="H41" i="3"/>
  <c r="H42" i="3"/>
  <c r="H43" i="3"/>
  <c r="H44" i="3"/>
  <c r="H45" i="3"/>
  <c r="H46" i="3"/>
  <c r="H47" i="3"/>
  <c r="H48" i="3"/>
  <c r="H49" i="3"/>
  <c r="H50" i="3"/>
  <c r="H51" i="3"/>
  <c r="H52" i="3"/>
  <c r="H53" i="3"/>
  <c r="H54" i="3"/>
  <c r="H55" i="3"/>
  <c r="H56" i="3"/>
  <c r="H57" i="3"/>
  <c r="H58" i="3"/>
  <c r="H59" i="3"/>
  <c r="H60" i="3"/>
  <c r="H61" i="3"/>
  <c r="H62" i="3"/>
  <c r="H63" i="3"/>
  <c r="H64" i="3"/>
  <c r="H65" i="3"/>
  <c r="H66" i="3"/>
  <c r="H67" i="3"/>
  <c r="H68" i="3"/>
  <c r="H69" i="3"/>
  <c r="H70" i="3"/>
  <c r="H71" i="3"/>
  <c r="H72" i="3"/>
  <c r="H73" i="3"/>
  <c r="H74" i="3"/>
  <c r="H75" i="3"/>
  <c r="H76" i="3"/>
  <c r="H77" i="3"/>
  <c r="H78" i="3"/>
  <c r="H79" i="3"/>
  <c r="H80" i="3"/>
  <c r="H81" i="3"/>
  <c r="H6" i="3"/>
  <c r="H7" i="3"/>
  <c r="H8" i="3"/>
  <c r="H9" i="3"/>
  <c r="H10" i="3"/>
  <c r="H11" i="3"/>
  <c r="H12" i="3"/>
  <c r="H13" i="3"/>
  <c r="H14" i="3"/>
  <c r="H5" i="3"/>
  <c r="I362" i="2"/>
  <c r="G362" i="2"/>
  <c r="H362" i="2" s="1"/>
  <c r="I361" i="2"/>
  <c r="G361" i="2"/>
  <c r="H361" i="2" s="1"/>
  <c r="J361" i="2" s="1"/>
  <c r="I360" i="2"/>
  <c r="G360" i="2"/>
  <c r="H360" i="2" s="1"/>
  <c r="I359" i="2"/>
  <c r="G359" i="2"/>
  <c r="H359" i="2" s="1"/>
  <c r="J359" i="2" s="1"/>
  <c r="I358" i="2"/>
  <c r="G358" i="2"/>
  <c r="H358" i="2" s="1"/>
  <c r="I357" i="2"/>
  <c r="G357" i="2"/>
  <c r="H357" i="2" s="1"/>
  <c r="J357" i="2" s="1"/>
  <c r="I356" i="2"/>
  <c r="G356" i="2"/>
  <c r="H356" i="2" s="1"/>
  <c r="I355" i="2"/>
  <c r="G355" i="2"/>
  <c r="H355" i="2" s="1"/>
  <c r="J355" i="2" s="1"/>
  <c r="I354" i="2"/>
  <c r="G354" i="2"/>
  <c r="H354" i="2" s="1"/>
  <c r="I353" i="2"/>
  <c r="G353" i="2"/>
  <c r="H353" i="2" s="1"/>
  <c r="J353" i="2" s="1"/>
  <c r="I352" i="2"/>
  <c r="G352" i="2"/>
  <c r="H352" i="2" s="1"/>
  <c r="I351" i="2"/>
  <c r="G351" i="2"/>
  <c r="H351" i="2" s="1"/>
  <c r="J351" i="2" s="1"/>
  <c r="I350" i="2"/>
  <c r="G350" i="2"/>
  <c r="H350" i="2" s="1"/>
  <c r="I349" i="2"/>
  <c r="G349" i="2"/>
  <c r="H349" i="2" s="1"/>
  <c r="J349" i="2" s="1"/>
  <c r="I348" i="2"/>
  <c r="G348" i="2"/>
  <c r="H348" i="2" s="1"/>
  <c r="I347" i="2"/>
  <c r="G347" i="2"/>
  <c r="H347" i="2" s="1"/>
  <c r="J347" i="2" s="1"/>
  <c r="I346" i="2"/>
  <c r="G346" i="2"/>
  <c r="H346" i="2" s="1"/>
  <c r="I345" i="2"/>
  <c r="G345" i="2"/>
  <c r="H345" i="2" s="1"/>
  <c r="J345" i="2" s="1"/>
  <c r="I344" i="2"/>
  <c r="G344" i="2"/>
  <c r="H344" i="2" s="1"/>
  <c r="I343" i="2"/>
  <c r="G343" i="2"/>
  <c r="H343" i="2" s="1"/>
  <c r="J343" i="2" s="1"/>
  <c r="I342" i="2"/>
  <c r="G342" i="2"/>
  <c r="H342" i="2" s="1"/>
  <c r="I341" i="2"/>
  <c r="G341" i="2"/>
  <c r="H341" i="2" s="1"/>
  <c r="J341" i="2" s="1"/>
  <c r="I340" i="2"/>
  <c r="G340" i="2"/>
  <c r="H340" i="2" s="1"/>
  <c r="I339" i="2"/>
  <c r="G339" i="2"/>
  <c r="H339" i="2" s="1"/>
  <c r="J339" i="2" s="1"/>
  <c r="I338" i="2"/>
  <c r="G338" i="2"/>
  <c r="H338" i="2" s="1"/>
  <c r="I337" i="2"/>
  <c r="G337" i="2"/>
  <c r="H337" i="2" s="1"/>
  <c r="J337" i="2" s="1"/>
  <c r="I336" i="2"/>
  <c r="G336" i="2"/>
  <c r="H336" i="2" s="1"/>
  <c r="I335" i="2"/>
  <c r="G335" i="2"/>
  <c r="H335" i="2" s="1"/>
  <c r="J335" i="2" s="1"/>
  <c r="I334" i="2"/>
  <c r="G334" i="2"/>
  <c r="H334" i="2" s="1"/>
  <c r="I333" i="2"/>
  <c r="G333" i="2"/>
  <c r="H333" i="2" s="1"/>
  <c r="J333" i="2" s="1"/>
  <c r="I332" i="2"/>
  <c r="G332" i="2"/>
  <c r="H332" i="2" s="1"/>
  <c r="I331" i="2"/>
  <c r="G331" i="2"/>
  <c r="H331" i="2" s="1"/>
  <c r="J331" i="2" s="1"/>
  <c r="I330" i="2"/>
  <c r="G330" i="2"/>
  <c r="H330" i="2" s="1"/>
  <c r="I329" i="2"/>
  <c r="G329" i="2"/>
  <c r="H329" i="2" s="1"/>
  <c r="J329" i="2" s="1"/>
  <c r="I328" i="2"/>
  <c r="G328" i="2"/>
  <c r="H328" i="2" s="1"/>
  <c r="I327" i="2"/>
  <c r="G327" i="2"/>
  <c r="H327" i="2" s="1"/>
  <c r="J327" i="2" s="1"/>
  <c r="I326" i="2"/>
  <c r="G326" i="2"/>
  <c r="H326" i="2" s="1"/>
  <c r="I325" i="2"/>
  <c r="G325" i="2"/>
  <c r="H325" i="2" s="1"/>
  <c r="J325" i="2" s="1"/>
  <c r="I324" i="2"/>
  <c r="G324" i="2"/>
  <c r="H324" i="2" s="1"/>
  <c r="I323" i="2"/>
  <c r="G323" i="2"/>
  <c r="H323" i="2" s="1"/>
  <c r="J323" i="2" s="1"/>
  <c r="I322" i="2"/>
  <c r="G322" i="2"/>
  <c r="H322" i="2" s="1"/>
  <c r="I321" i="2"/>
  <c r="G321" i="2"/>
  <c r="H321" i="2" s="1"/>
  <c r="J321" i="2" s="1"/>
  <c r="I320" i="2"/>
  <c r="G320" i="2"/>
  <c r="H320" i="2" s="1"/>
  <c r="I319" i="2"/>
  <c r="G319" i="2"/>
  <c r="H319" i="2" s="1"/>
  <c r="J319" i="2" s="1"/>
  <c r="I318" i="2"/>
  <c r="G318" i="2"/>
  <c r="H318" i="2" s="1"/>
  <c r="I317" i="2"/>
  <c r="G317" i="2"/>
  <c r="H317" i="2" s="1"/>
  <c r="J317" i="2" s="1"/>
  <c r="I316" i="2"/>
  <c r="G316" i="2"/>
  <c r="H316" i="2" s="1"/>
  <c r="I315" i="2"/>
  <c r="G315" i="2"/>
  <c r="H315" i="2" s="1"/>
  <c r="J315" i="2" s="1"/>
  <c r="I314" i="2"/>
  <c r="G314" i="2"/>
  <c r="H314" i="2" s="1"/>
  <c r="I313" i="2"/>
  <c r="G313" i="2"/>
  <c r="H313" i="2" s="1"/>
  <c r="J313" i="2" s="1"/>
  <c r="I312" i="2"/>
  <c r="G312" i="2"/>
  <c r="H312" i="2" s="1"/>
  <c r="I311" i="2"/>
  <c r="G311" i="2"/>
  <c r="H311" i="2" s="1"/>
  <c r="J311" i="2" s="1"/>
  <c r="I310" i="2"/>
  <c r="G310" i="2"/>
  <c r="H310" i="2" s="1"/>
  <c r="I309" i="2"/>
  <c r="G309" i="2"/>
  <c r="H309" i="2" s="1"/>
  <c r="J309" i="2" s="1"/>
  <c r="I308" i="2"/>
  <c r="G308" i="2"/>
  <c r="H308" i="2" s="1"/>
  <c r="I307" i="2"/>
  <c r="G307" i="2"/>
  <c r="H307" i="2" s="1"/>
  <c r="J307" i="2" s="1"/>
  <c r="I306" i="2"/>
  <c r="G306" i="2"/>
  <c r="H306" i="2" s="1"/>
  <c r="I305" i="2"/>
  <c r="G305" i="2"/>
  <c r="H305" i="2" s="1"/>
  <c r="J305" i="2" s="1"/>
  <c r="I304" i="2"/>
  <c r="G304" i="2"/>
  <c r="H304" i="2" s="1"/>
  <c r="I303" i="2"/>
  <c r="G303" i="2"/>
  <c r="H303" i="2" s="1"/>
  <c r="J303" i="2" s="1"/>
  <c r="I302" i="2"/>
  <c r="G302" i="2"/>
  <c r="H302" i="2" s="1"/>
  <c r="I301" i="2"/>
  <c r="G301" i="2"/>
  <c r="H301" i="2" s="1"/>
  <c r="J301" i="2" s="1"/>
  <c r="I300" i="2"/>
  <c r="G300" i="2"/>
  <c r="H300" i="2" s="1"/>
  <c r="I299" i="2"/>
  <c r="G299" i="2"/>
  <c r="H299" i="2" s="1"/>
  <c r="J299" i="2" s="1"/>
  <c r="I298" i="2"/>
  <c r="G298" i="2"/>
  <c r="H298" i="2" s="1"/>
  <c r="I297" i="2"/>
  <c r="G297" i="2"/>
  <c r="H297" i="2" s="1"/>
  <c r="J297" i="2" s="1"/>
  <c r="I296" i="2"/>
  <c r="G296" i="2"/>
  <c r="H296" i="2" s="1"/>
  <c r="I295" i="2"/>
  <c r="G295" i="2"/>
  <c r="H295" i="2" s="1"/>
  <c r="J295" i="2" s="1"/>
  <c r="I294" i="2"/>
  <c r="G294" i="2"/>
  <c r="H294" i="2" s="1"/>
  <c r="I293" i="2"/>
  <c r="G293" i="2"/>
  <c r="H293" i="2" s="1"/>
  <c r="J293" i="2" s="1"/>
  <c r="I292" i="2"/>
  <c r="G292" i="2"/>
  <c r="H292" i="2" s="1"/>
  <c r="J292" i="2" s="1"/>
  <c r="I291" i="2"/>
  <c r="G291" i="2"/>
  <c r="H291" i="2" s="1"/>
  <c r="J291" i="2" s="1"/>
  <c r="I290" i="2"/>
  <c r="G290" i="2"/>
  <c r="H290" i="2" s="1"/>
  <c r="J290" i="2" s="1"/>
  <c r="I289" i="2"/>
  <c r="G289" i="2"/>
  <c r="H289" i="2" s="1"/>
  <c r="J289" i="2" s="1"/>
  <c r="I288" i="2"/>
  <c r="G288" i="2"/>
  <c r="H288" i="2" s="1"/>
  <c r="J288" i="2" s="1"/>
  <c r="I287" i="2"/>
  <c r="G287" i="2"/>
  <c r="H287" i="2" s="1"/>
  <c r="J287" i="2" s="1"/>
  <c r="I286" i="2"/>
  <c r="G286" i="2"/>
  <c r="H286" i="2" s="1"/>
  <c r="J286" i="2" s="1"/>
  <c r="I285" i="2"/>
  <c r="G285" i="2"/>
  <c r="H285" i="2" s="1"/>
  <c r="J285" i="2" s="1"/>
  <c r="I284" i="2"/>
  <c r="G284" i="2"/>
  <c r="H284" i="2" s="1"/>
  <c r="J284" i="2" s="1"/>
  <c r="I283" i="2"/>
  <c r="G283" i="2"/>
  <c r="H283" i="2" s="1"/>
  <c r="J283" i="2" s="1"/>
  <c r="I282" i="2"/>
  <c r="G282" i="2"/>
  <c r="H282" i="2" s="1"/>
  <c r="J282" i="2" s="1"/>
  <c r="I281" i="2"/>
  <c r="G281" i="2"/>
  <c r="H281" i="2" s="1"/>
  <c r="J281" i="2" s="1"/>
  <c r="I280" i="2"/>
  <c r="G280" i="2"/>
  <c r="H280" i="2" s="1"/>
  <c r="J280" i="2" s="1"/>
  <c r="I279" i="2"/>
  <c r="G279" i="2"/>
  <c r="H279" i="2" s="1"/>
  <c r="J279" i="2" s="1"/>
  <c r="I278" i="2"/>
  <c r="G278" i="2"/>
  <c r="H278" i="2" s="1"/>
  <c r="J278" i="2" s="1"/>
  <c r="I277" i="2"/>
  <c r="G277" i="2"/>
  <c r="H277" i="2" s="1"/>
  <c r="J277" i="2" s="1"/>
  <c r="I276" i="2"/>
  <c r="G276" i="2"/>
  <c r="H276" i="2" s="1"/>
  <c r="J276" i="2" s="1"/>
  <c r="I275" i="2"/>
  <c r="G275" i="2"/>
  <c r="H275" i="2" s="1"/>
  <c r="J275" i="2" s="1"/>
  <c r="I274" i="2"/>
  <c r="G274" i="2"/>
  <c r="H274" i="2" s="1"/>
  <c r="J274" i="2" s="1"/>
  <c r="I273" i="2"/>
  <c r="G273" i="2"/>
  <c r="H273" i="2" s="1"/>
  <c r="J273" i="2" s="1"/>
  <c r="I272" i="2"/>
  <c r="G272" i="2"/>
  <c r="H272" i="2" s="1"/>
  <c r="J272" i="2" s="1"/>
  <c r="I271" i="2"/>
  <c r="G271" i="2"/>
  <c r="H271" i="2" s="1"/>
  <c r="J271" i="2" s="1"/>
  <c r="I270" i="2"/>
  <c r="G270" i="2"/>
  <c r="H270" i="2" s="1"/>
  <c r="J270" i="2" s="1"/>
  <c r="I269" i="2"/>
  <c r="G269" i="2"/>
  <c r="H269" i="2" s="1"/>
  <c r="J269" i="2" s="1"/>
  <c r="I268" i="2"/>
  <c r="G268" i="2"/>
  <c r="H268" i="2" s="1"/>
  <c r="J268" i="2" s="1"/>
  <c r="I267" i="2"/>
  <c r="G267" i="2"/>
  <c r="H267" i="2" s="1"/>
  <c r="J267" i="2" s="1"/>
  <c r="I266" i="2"/>
  <c r="G266" i="2"/>
  <c r="H266" i="2" s="1"/>
  <c r="J266" i="2" s="1"/>
  <c r="I265" i="2"/>
  <c r="G265" i="2"/>
  <c r="H265" i="2" s="1"/>
  <c r="J265" i="2" s="1"/>
  <c r="I264" i="2"/>
  <c r="G264" i="2"/>
  <c r="H264" i="2" s="1"/>
  <c r="J264" i="2" s="1"/>
  <c r="I263" i="2"/>
  <c r="G263" i="2"/>
  <c r="H263" i="2" s="1"/>
  <c r="J263" i="2" s="1"/>
  <c r="I262" i="2"/>
  <c r="G262" i="2"/>
  <c r="H262" i="2" s="1"/>
  <c r="J262" i="2" s="1"/>
  <c r="I261" i="2"/>
  <c r="G261" i="2"/>
  <c r="H261" i="2" s="1"/>
  <c r="J261" i="2" s="1"/>
  <c r="I260" i="2"/>
  <c r="G260" i="2"/>
  <c r="H260" i="2" s="1"/>
  <c r="J260" i="2" s="1"/>
  <c r="I259" i="2"/>
  <c r="G259" i="2"/>
  <c r="H259" i="2" s="1"/>
  <c r="J259" i="2" s="1"/>
  <c r="I258" i="2"/>
  <c r="G258" i="2"/>
  <c r="H258" i="2" s="1"/>
  <c r="J258" i="2" s="1"/>
  <c r="I257" i="2"/>
  <c r="G257" i="2"/>
  <c r="H257" i="2" s="1"/>
  <c r="J257" i="2" s="1"/>
  <c r="I256" i="2"/>
  <c r="G256" i="2"/>
  <c r="H256" i="2" s="1"/>
  <c r="J256" i="2" s="1"/>
  <c r="I255" i="2"/>
  <c r="G255" i="2"/>
  <c r="H255" i="2" s="1"/>
  <c r="J255" i="2" s="1"/>
  <c r="I254" i="2"/>
  <c r="G254" i="2"/>
  <c r="H254" i="2" s="1"/>
  <c r="J254" i="2" s="1"/>
  <c r="I253" i="2"/>
  <c r="G253" i="2"/>
  <c r="H253" i="2" s="1"/>
  <c r="J253" i="2" s="1"/>
  <c r="I252" i="2"/>
  <c r="G252" i="2"/>
  <c r="H252" i="2" s="1"/>
  <c r="J252" i="2" s="1"/>
  <c r="I251" i="2"/>
  <c r="G251" i="2"/>
  <c r="H251" i="2" s="1"/>
  <c r="J251" i="2" s="1"/>
  <c r="I250" i="2"/>
  <c r="G250" i="2"/>
  <c r="H250" i="2" s="1"/>
  <c r="J250" i="2" s="1"/>
  <c r="I249" i="2"/>
  <c r="G249" i="2"/>
  <c r="H249" i="2" s="1"/>
  <c r="J249" i="2" s="1"/>
  <c r="I248" i="2"/>
  <c r="G248" i="2"/>
  <c r="H248" i="2" s="1"/>
  <c r="J248" i="2" s="1"/>
  <c r="I247" i="2"/>
  <c r="G247" i="2"/>
  <c r="H247" i="2" s="1"/>
  <c r="J247" i="2" s="1"/>
  <c r="I246" i="2"/>
  <c r="G246" i="2"/>
  <c r="H246" i="2" s="1"/>
  <c r="J246" i="2" s="1"/>
  <c r="I245" i="2"/>
  <c r="G245" i="2"/>
  <c r="H245" i="2" s="1"/>
  <c r="J245" i="2" s="1"/>
  <c r="I244" i="2"/>
  <c r="G244" i="2"/>
  <c r="H244" i="2" s="1"/>
  <c r="J244" i="2" s="1"/>
  <c r="I243" i="2"/>
  <c r="G243" i="2"/>
  <c r="H243" i="2" s="1"/>
  <c r="J243" i="2" s="1"/>
  <c r="I242" i="2"/>
  <c r="G242" i="2"/>
  <c r="H242" i="2" s="1"/>
  <c r="J242" i="2" s="1"/>
  <c r="I241" i="2"/>
  <c r="G241" i="2"/>
  <c r="H241" i="2" s="1"/>
  <c r="J241" i="2" s="1"/>
  <c r="I240" i="2"/>
  <c r="G240" i="2"/>
  <c r="H240" i="2" s="1"/>
  <c r="J240" i="2" s="1"/>
  <c r="I239" i="2"/>
  <c r="G239" i="2"/>
  <c r="H239" i="2" s="1"/>
  <c r="J239" i="2" s="1"/>
  <c r="I238" i="2"/>
  <c r="G238" i="2"/>
  <c r="H238" i="2" s="1"/>
  <c r="J238" i="2" s="1"/>
  <c r="I237" i="2"/>
  <c r="G237" i="2"/>
  <c r="H237" i="2" s="1"/>
  <c r="J237" i="2" s="1"/>
  <c r="I236" i="2"/>
  <c r="G236" i="2"/>
  <c r="H236" i="2" s="1"/>
  <c r="J236" i="2" s="1"/>
  <c r="I235" i="2"/>
  <c r="G235" i="2"/>
  <c r="H235" i="2" s="1"/>
  <c r="J235" i="2" s="1"/>
  <c r="I234" i="2"/>
  <c r="G234" i="2"/>
  <c r="H234" i="2" s="1"/>
  <c r="J234" i="2" s="1"/>
  <c r="I233" i="2"/>
  <c r="G233" i="2"/>
  <c r="H233" i="2" s="1"/>
  <c r="J233" i="2" s="1"/>
  <c r="I232" i="2"/>
  <c r="G232" i="2"/>
  <c r="H232" i="2" s="1"/>
  <c r="J232" i="2" s="1"/>
  <c r="I231" i="2"/>
  <c r="G231" i="2"/>
  <c r="H231" i="2" s="1"/>
  <c r="J231" i="2" s="1"/>
  <c r="I230" i="2"/>
  <c r="G230" i="2"/>
  <c r="H230" i="2" s="1"/>
  <c r="J230" i="2" s="1"/>
  <c r="I229" i="2"/>
  <c r="G229" i="2"/>
  <c r="H229" i="2" s="1"/>
  <c r="J229" i="2" s="1"/>
  <c r="I228" i="2"/>
  <c r="G228" i="2"/>
  <c r="H228" i="2" s="1"/>
  <c r="J228" i="2" s="1"/>
  <c r="I227" i="2"/>
  <c r="G227" i="2"/>
  <c r="H227" i="2" s="1"/>
  <c r="J227" i="2" s="1"/>
  <c r="I226" i="2"/>
  <c r="G226" i="2"/>
  <c r="H226" i="2" s="1"/>
  <c r="J226" i="2" s="1"/>
  <c r="I225" i="2"/>
  <c r="G225" i="2"/>
  <c r="H225" i="2" s="1"/>
  <c r="J225" i="2" s="1"/>
  <c r="I224" i="2"/>
  <c r="G224" i="2"/>
  <c r="H224" i="2" s="1"/>
  <c r="J224" i="2" s="1"/>
  <c r="I223" i="2"/>
  <c r="G223" i="2"/>
  <c r="H223" i="2" s="1"/>
  <c r="J223" i="2" s="1"/>
  <c r="I222" i="2"/>
  <c r="G222" i="2"/>
  <c r="H222" i="2" s="1"/>
  <c r="J222" i="2" s="1"/>
  <c r="I221" i="2"/>
  <c r="G221" i="2"/>
  <c r="H221" i="2" s="1"/>
  <c r="J221" i="2" s="1"/>
  <c r="I220" i="2"/>
  <c r="G220" i="2"/>
  <c r="H220" i="2" s="1"/>
  <c r="J220" i="2" s="1"/>
  <c r="I219" i="2"/>
  <c r="G219" i="2"/>
  <c r="H219" i="2" s="1"/>
  <c r="J219" i="2" s="1"/>
  <c r="I218" i="2"/>
  <c r="G218" i="2"/>
  <c r="H218" i="2" s="1"/>
  <c r="J218" i="2" s="1"/>
  <c r="I217" i="2"/>
  <c r="G217" i="2"/>
  <c r="H217" i="2" s="1"/>
  <c r="J217" i="2" s="1"/>
  <c r="I216" i="2"/>
  <c r="G216" i="2"/>
  <c r="H216" i="2" s="1"/>
  <c r="J216" i="2" s="1"/>
  <c r="I215" i="2"/>
  <c r="G215" i="2"/>
  <c r="H215" i="2" s="1"/>
  <c r="J215" i="2" s="1"/>
  <c r="I214" i="2"/>
  <c r="G214" i="2"/>
  <c r="H214" i="2" s="1"/>
  <c r="J214" i="2" s="1"/>
  <c r="I213" i="2"/>
  <c r="G213" i="2"/>
  <c r="H213" i="2" s="1"/>
  <c r="J213" i="2" s="1"/>
  <c r="I212" i="2"/>
  <c r="G212" i="2"/>
  <c r="H212" i="2" s="1"/>
  <c r="J212" i="2" s="1"/>
  <c r="I211" i="2"/>
  <c r="G211" i="2"/>
  <c r="H211" i="2" s="1"/>
  <c r="J211" i="2" s="1"/>
  <c r="I210" i="2"/>
  <c r="G210" i="2"/>
  <c r="H210" i="2" s="1"/>
  <c r="J210" i="2" s="1"/>
  <c r="I209" i="2"/>
  <c r="G209" i="2"/>
  <c r="H209" i="2" s="1"/>
  <c r="J209" i="2" s="1"/>
  <c r="I208" i="2"/>
  <c r="G208" i="2"/>
  <c r="H208" i="2" s="1"/>
  <c r="J208" i="2" s="1"/>
  <c r="I207" i="2"/>
  <c r="G207" i="2"/>
  <c r="H207" i="2" s="1"/>
  <c r="J207" i="2" s="1"/>
  <c r="I206" i="2"/>
  <c r="G206" i="2"/>
  <c r="H206" i="2" s="1"/>
  <c r="J206" i="2" s="1"/>
  <c r="I205" i="2"/>
  <c r="G205" i="2"/>
  <c r="H205" i="2" s="1"/>
  <c r="J205" i="2" s="1"/>
  <c r="I204" i="2"/>
  <c r="G204" i="2"/>
  <c r="H204" i="2" s="1"/>
  <c r="J204" i="2" s="1"/>
  <c r="I203" i="2"/>
  <c r="G203" i="2"/>
  <c r="H203" i="2" s="1"/>
  <c r="J203" i="2" s="1"/>
  <c r="I202" i="2"/>
  <c r="G202" i="2"/>
  <c r="H202" i="2" s="1"/>
  <c r="J202" i="2" s="1"/>
  <c r="I201" i="2"/>
  <c r="G201" i="2"/>
  <c r="H201" i="2" s="1"/>
  <c r="J201" i="2" s="1"/>
  <c r="I200" i="2"/>
  <c r="G200" i="2"/>
  <c r="H200" i="2" s="1"/>
  <c r="J200" i="2" s="1"/>
  <c r="I199" i="2"/>
  <c r="G199" i="2"/>
  <c r="H199" i="2" s="1"/>
  <c r="J199" i="2" s="1"/>
  <c r="I198" i="2"/>
  <c r="G198" i="2"/>
  <c r="H198" i="2" s="1"/>
  <c r="J198" i="2" s="1"/>
  <c r="I197" i="2"/>
  <c r="G197" i="2"/>
  <c r="H197" i="2" s="1"/>
  <c r="J197" i="2" s="1"/>
  <c r="I196" i="2"/>
  <c r="G196" i="2"/>
  <c r="H196" i="2" s="1"/>
  <c r="J196" i="2" s="1"/>
  <c r="I195" i="2"/>
  <c r="G195" i="2"/>
  <c r="H195" i="2" s="1"/>
  <c r="J195" i="2" s="1"/>
  <c r="I194" i="2"/>
  <c r="G194" i="2"/>
  <c r="H194" i="2" s="1"/>
  <c r="J194" i="2" s="1"/>
  <c r="I193" i="2"/>
  <c r="G193" i="2"/>
  <c r="H193" i="2" s="1"/>
  <c r="J193" i="2" s="1"/>
  <c r="I192" i="2"/>
  <c r="G192" i="2"/>
  <c r="H192" i="2" s="1"/>
  <c r="I191" i="2"/>
  <c r="J191" i="2" s="1"/>
  <c r="G191" i="2"/>
  <c r="H191" i="2" s="1"/>
  <c r="I190" i="2"/>
  <c r="G190" i="2"/>
  <c r="H190" i="2" s="1"/>
  <c r="J190" i="2" s="1"/>
  <c r="I189" i="2"/>
  <c r="G189" i="2"/>
  <c r="H189" i="2" s="1"/>
  <c r="J189" i="2" s="1"/>
  <c r="J188" i="2"/>
  <c r="I188" i="2"/>
  <c r="G188" i="2"/>
  <c r="H188" i="2" s="1"/>
  <c r="I187" i="2"/>
  <c r="J187" i="2" s="1"/>
  <c r="G187" i="2"/>
  <c r="H187" i="2" s="1"/>
  <c r="I186" i="2"/>
  <c r="G186" i="2"/>
  <c r="H186" i="2" s="1"/>
  <c r="I185" i="2"/>
  <c r="G185" i="2"/>
  <c r="H185" i="2" s="1"/>
  <c r="J185" i="2" s="1"/>
  <c r="J184" i="2"/>
  <c r="I184" i="2"/>
  <c r="G184" i="2"/>
  <c r="H184" i="2" s="1"/>
  <c r="I183" i="2"/>
  <c r="J183" i="2" s="1"/>
  <c r="G183" i="2"/>
  <c r="H183" i="2" s="1"/>
  <c r="I182" i="2"/>
  <c r="G182" i="2"/>
  <c r="H182" i="2" s="1"/>
  <c r="J182" i="2" s="1"/>
  <c r="I181" i="2"/>
  <c r="G181" i="2"/>
  <c r="H181" i="2" s="1"/>
  <c r="J181" i="2" s="1"/>
  <c r="J180" i="2"/>
  <c r="I180" i="2"/>
  <c r="G180" i="2"/>
  <c r="H180" i="2" s="1"/>
  <c r="I179" i="2"/>
  <c r="J179" i="2" s="1"/>
  <c r="G179" i="2"/>
  <c r="H179" i="2" s="1"/>
  <c r="I178" i="2"/>
  <c r="G178" i="2"/>
  <c r="H178" i="2" s="1"/>
  <c r="I177" i="2"/>
  <c r="G177" i="2"/>
  <c r="H177" i="2" s="1"/>
  <c r="J177" i="2" s="1"/>
  <c r="J176" i="2"/>
  <c r="I176" i="2"/>
  <c r="G176" i="2"/>
  <c r="H176" i="2" s="1"/>
  <c r="I175" i="2"/>
  <c r="J175" i="2" s="1"/>
  <c r="G175" i="2"/>
  <c r="H175" i="2" s="1"/>
  <c r="I174" i="2"/>
  <c r="G174" i="2"/>
  <c r="H174" i="2" s="1"/>
  <c r="J174" i="2" s="1"/>
  <c r="I173" i="2"/>
  <c r="G173" i="2"/>
  <c r="H173" i="2" s="1"/>
  <c r="J173" i="2" s="1"/>
  <c r="J172" i="2"/>
  <c r="I172" i="2"/>
  <c r="G172" i="2"/>
  <c r="H172" i="2" s="1"/>
  <c r="I171" i="2"/>
  <c r="J171" i="2" s="1"/>
  <c r="G171" i="2"/>
  <c r="H171" i="2" s="1"/>
  <c r="I170" i="2"/>
  <c r="G170" i="2"/>
  <c r="H170" i="2" s="1"/>
  <c r="I169" i="2"/>
  <c r="G169" i="2"/>
  <c r="H169" i="2" s="1"/>
  <c r="J169" i="2" s="1"/>
  <c r="J168" i="2"/>
  <c r="I168" i="2"/>
  <c r="G168" i="2"/>
  <c r="H168" i="2" s="1"/>
  <c r="I167" i="2"/>
  <c r="J167" i="2" s="1"/>
  <c r="G167" i="2"/>
  <c r="H167" i="2" s="1"/>
  <c r="I166" i="2"/>
  <c r="G166" i="2"/>
  <c r="H166" i="2" s="1"/>
  <c r="J166" i="2" s="1"/>
  <c r="I165" i="2"/>
  <c r="G165" i="2"/>
  <c r="H165" i="2" s="1"/>
  <c r="J165" i="2" s="1"/>
  <c r="J164" i="2"/>
  <c r="I164" i="2"/>
  <c r="G164" i="2"/>
  <c r="H164" i="2" s="1"/>
  <c r="I163" i="2"/>
  <c r="J163" i="2" s="1"/>
  <c r="G163" i="2"/>
  <c r="H163" i="2" s="1"/>
  <c r="I162" i="2"/>
  <c r="G162" i="2"/>
  <c r="H162" i="2" s="1"/>
  <c r="I161" i="2"/>
  <c r="G161" i="2"/>
  <c r="H161" i="2" s="1"/>
  <c r="J161" i="2" s="1"/>
  <c r="J160" i="2"/>
  <c r="I160" i="2"/>
  <c r="G160" i="2"/>
  <c r="H160" i="2" s="1"/>
  <c r="I159" i="2"/>
  <c r="J159" i="2" s="1"/>
  <c r="G159" i="2"/>
  <c r="H159" i="2" s="1"/>
  <c r="I158" i="2"/>
  <c r="G158" i="2"/>
  <c r="H158" i="2" s="1"/>
  <c r="J158" i="2" s="1"/>
  <c r="I157" i="2"/>
  <c r="G157" i="2"/>
  <c r="H157" i="2" s="1"/>
  <c r="J157" i="2" s="1"/>
  <c r="J156" i="2"/>
  <c r="I156" i="2"/>
  <c r="G156" i="2"/>
  <c r="H156" i="2" s="1"/>
  <c r="I155" i="2"/>
  <c r="J155" i="2" s="1"/>
  <c r="G155" i="2"/>
  <c r="H155" i="2" s="1"/>
  <c r="I154" i="2"/>
  <c r="G154" i="2"/>
  <c r="H154" i="2" s="1"/>
  <c r="I153" i="2"/>
  <c r="G153" i="2"/>
  <c r="H153" i="2" s="1"/>
  <c r="J153" i="2" s="1"/>
  <c r="J152" i="2"/>
  <c r="I152" i="2"/>
  <c r="G152" i="2"/>
  <c r="H152" i="2" s="1"/>
  <c r="I151" i="2"/>
  <c r="J151" i="2" s="1"/>
  <c r="G151" i="2"/>
  <c r="H151" i="2" s="1"/>
  <c r="I150" i="2"/>
  <c r="G150" i="2"/>
  <c r="H150" i="2" s="1"/>
  <c r="J150" i="2" s="1"/>
  <c r="I149" i="2"/>
  <c r="G149" i="2"/>
  <c r="H149" i="2" s="1"/>
  <c r="J149" i="2" s="1"/>
  <c r="J148" i="2"/>
  <c r="I148" i="2"/>
  <c r="G148" i="2"/>
  <c r="H148" i="2" s="1"/>
  <c r="I147" i="2"/>
  <c r="J147" i="2" s="1"/>
  <c r="G147" i="2"/>
  <c r="H147" i="2" s="1"/>
  <c r="I146" i="2"/>
  <c r="G146" i="2"/>
  <c r="H146" i="2" s="1"/>
  <c r="I145" i="2"/>
  <c r="G145" i="2"/>
  <c r="H145" i="2" s="1"/>
  <c r="J145" i="2" s="1"/>
  <c r="J144" i="2"/>
  <c r="I144" i="2"/>
  <c r="G144" i="2"/>
  <c r="H144" i="2" s="1"/>
  <c r="I143" i="2"/>
  <c r="J143" i="2" s="1"/>
  <c r="G143" i="2"/>
  <c r="H143" i="2" s="1"/>
  <c r="I142" i="2"/>
  <c r="G142" i="2"/>
  <c r="H142" i="2" s="1"/>
  <c r="J142" i="2" s="1"/>
  <c r="I141" i="2"/>
  <c r="G141" i="2"/>
  <c r="H141" i="2" s="1"/>
  <c r="J141" i="2" s="1"/>
  <c r="J140" i="2"/>
  <c r="I140" i="2"/>
  <c r="G140" i="2"/>
  <c r="H140" i="2" s="1"/>
  <c r="I139" i="2"/>
  <c r="J139" i="2" s="1"/>
  <c r="G139" i="2"/>
  <c r="H139" i="2" s="1"/>
  <c r="I138" i="2"/>
  <c r="G138" i="2"/>
  <c r="H138" i="2" s="1"/>
  <c r="I137" i="2"/>
  <c r="G137" i="2"/>
  <c r="H137" i="2" s="1"/>
  <c r="J137" i="2" s="1"/>
  <c r="J136" i="2"/>
  <c r="I136" i="2"/>
  <c r="G136" i="2"/>
  <c r="H136" i="2" s="1"/>
  <c r="I135" i="2"/>
  <c r="J135" i="2" s="1"/>
  <c r="G135" i="2"/>
  <c r="H135" i="2" s="1"/>
  <c r="I134" i="2"/>
  <c r="G134" i="2"/>
  <c r="H134" i="2" s="1"/>
  <c r="J134" i="2" s="1"/>
  <c r="I133" i="2"/>
  <c r="G133" i="2"/>
  <c r="H133" i="2" s="1"/>
  <c r="J133" i="2" s="1"/>
  <c r="J132" i="2"/>
  <c r="I132" i="2"/>
  <c r="G132" i="2"/>
  <c r="H132" i="2" s="1"/>
  <c r="I131" i="2"/>
  <c r="J131" i="2" s="1"/>
  <c r="G131" i="2"/>
  <c r="H131" i="2" s="1"/>
  <c r="I130" i="2"/>
  <c r="G130" i="2"/>
  <c r="H130" i="2" s="1"/>
  <c r="I129" i="2"/>
  <c r="G129" i="2"/>
  <c r="H129" i="2" s="1"/>
  <c r="J129" i="2" s="1"/>
  <c r="J128" i="2"/>
  <c r="I128" i="2"/>
  <c r="G128" i="2"/>
  <c r="H128" i="2" s="1"/>
  <c r="I127" i="2"/>
  <c r="J127" i="2" s="1"/>
  <c r="G127" i="2"/>
  <c r="H127" i="2" s="1"/>
  <c r="I126" i="2"/>
  <c r="G126" i="2"/>
  <c r="H126" i="2" s="1"/>
  <c r="J126" i="2" s="1"/>
  <c r="I125" i="2"/>
  <c r="G125" i="2"/>
  <c r="H125" i="2" s="1"/>
  <c r="J125" i="2" s="1"/>
  <c r="J124" i="2"/>
  <c r="I124" i="2"/>
  <c r="G124" i="2"/>
  <c r="H124" i="2" s="1"/>
  <c r="I123" i="2"/>
  <c r="J123" i="2" s="1"/>
  <c r="G123" i="2"/>
  <c r="H123" i="2" s="1"/>
  <c r="I122" i="2"/>
  <c r="G122" i="2"/>
  <c r="H122" i="2" s="1"/>
  <c r="I121" i="2"/>
  <c r="G121" i="2"/>
  <c r="H121" i="2" s="1"/>
  <c r="J121" i="2" s="1"/>
  <c r="J120" i="2"/>
  <c r="I120" i="2"/>
  <c r="G120" i="2"/>
  <c r="H120" i="2" s="1"/>
  <c r="I119" i="2"/>
  <c r="J119" i="2" s="1"/>
  <c r="G119" i="2"/>
  <c r="H119" i="2" s="1"/>
  <c r="I118" i="2"/>
  <c r="G118" i="2"/>
  <c r="H118" i="2" s="1"/>
  <c r="J118" i="2" s="1"/>
  <c r="I117" i="2"/>
  <c r="G117" i="2"/>
  <c r="H117" i="2" s="1"/>
  <c r="J117" i="2" s="1"/>
  <c r="J116" i="2"/>
  <c r="I116" i="2"/>
  <c r="G116" i="2"/>
  <c r="H116" i="2" s="1"/>
  <c r="I115" i="2"/>
  <c r="J115" i="2" s="1"/>
  <c r="G115" i="2"/>
  <c r="H115" i="2" s="1"/>
  <c r="I114" i="2"/>
  <c r="G114" i="2"/>
  <c r="H114" i="2" s="1"/>
  <c r="I113" i="2"/>
  <c r="G113" i="2"/>
  <c r="H113" i="2" s="1"/>
  <c r="J113" i="2" s="1"/>
  <c r="J112" i="2"/>
  <c r="I112" i="2"/>
  <c r="G112" i="2"/>
  <c r="H112" i="2" s="1"/>
  <c r="I111" i="2"/>
  <c r="J111" i="2" s="1"/>
  <c r="G111" i="2"/>
  <c r="H111" i="2" s="1"/>
  <c r="I110" i="2"/>
  <c r="G110" i="2"/>
  <c r="H110" i="2" s="1"/>
  <c r="J110" i="2" s="1"/>
  <c r="I109" i="2"/>
  <c r="G109" i="2"/>
  <c r="H109" i="2" s="1"/>
  <c r="J109" i="2" s="1"/>
  <c r="J108" i="2"/>
  <c r="I108" i="2"/>
  <c r="G108" i="2"/>
  <c r="H108" i="2" s="1"/>
  <c r="I107" i="2"/>
  <c r="G107" i="2"/>
  <c r="H107" i="2" s="1"/>
  <c r="J107" i="2" s="1"/>
  <c r="J106" i="2"/>
  <c r="I106" i="2"/>
  <c r="G106" i="2"/>
  <c r="H106" i="2" s="1"/>
  <c r="I105" i="2"/>
  <c r="J105" i="2" s="1"/>
  <c r="G105" i="2"/>
  <c r="H105" i="2" s="1"/>
  <c r="I104" i="2"/>
  <c r="G104" i="2"/>
  <c r="H104" i="2" s="1"/>
  <c r="J104" i="2" s="1"/>
  <c r="I103" i="2"/>
  <c r="G103" i="2"/>
  <c r="H103" i="2" s="1"/>
  <c r="J103" i="2" s="1"/>
  <c r="J102" i="2"/>
  <c r="I102" i="2"/>
  <c r="G102" i="2"/>
  <c r="H102" i="2" s="1"/>
  <c r="I101" i="2"/>
  <c r="J101" i="2" s="1"/>
  <c r="G101" i="2"/>
  <c r="H101" i="2" s="1"/>
  <c r="I100" i="2"/>
  <c r="G100" i="2"/>
  <c r="H100" i="2" s="1"/>
  <c r="J100" i="2" s="1"/>
  <c r="I99" i="2"/>
  <c r="G99" i="2"/>
  <c r="H99" i="2" s="1"/>
  <c r="J99" i="2" s="1"/>
  <c r="J98" i="2"/>
  <c r="I98" i="2"/>
  <c r="G98" i="2"/>
  <c r="H98" i="2" s="1"/>
  <c r="I97" i="2"/>
  <c r="J97" i="2" s="1"/>
  <c r="G97" i="2"/>
  <c r="H97" i="2" s="1"/>
  <c r="I96" i="2"/>
  <c r="G96" i="2"/>
  <c r="H96" i="2" s="1"/>
  <c r="J96" i="2" s="1"/>
  <c r="I95" i="2"/>
  <c r="G95" i="2"/>
  <c r="H95" i="2" s="1"/>
  <c r="J95" i="2" s="1"/>
  <c r="J94" i="2"/>
  <c r="I94" i="2"/>
  <c r="G94" i="2"/>
  <c r="H94" i="2" s="1"/>
  <c r="I93" i="2"/>
  <c r="J93" i="2" s="1"/>
  <c r="G93" i="2"/>
  <c r="H93" i="2" s="1"/>
  <c r="I93" i="1"/>
  <c r="I94" i="1"/>
  <c r="I95" i="1"/>
  <c r="I96" i="1"/>
  <c r="J96" i="1"/>
  <c r="I97" i="1"/>
  <c r="I98" i="1"/>
  <c r="I99" i="1"/>
  <c r="I100" i="1"/>
  <c r="I101" i="1"/>
  <c r="I102" i="1"/>
  <c r="I103" i="1"/>
  <c r="J104" i="1"/>
  <c r="I104" i="1"/>
  <c r="I105" i="1"/>
  <c r="J106" i="1"/>
  <c r="I106" i="1"/>
  <c r="I107" i="1"/>
  <c r="I108" i="1"/>
  <c r="I109" i="1"/>
  <c r="I110" i="1"/>
  <c r="I111" i="1"/>
  <c r="J111" i="1" s="1"/>
  <c r="I112" i="1"/>
  <c r="I113" i="1"/>
  <c r="I114" i="1"/>
  <c r="I115" i="1"/>
  <c r="I116" i="1"/>
  <c r="I117" i="1"/>
  <c r="J118" i="1"/>
  <c r="I118" i="1"/>
  <c r="I119" i="1"/>
  <c r="I120" i="1"/>
  <c r="I121" i="1"/>
  <c r="J122" i="1"/>
  <c r="I122" i="1"/>
  <c r="I123" i="1"/>
  <c r="J123" i="1" s="1"/>
  <c r="I124" i="1"/>
  <c r="I125" i="1"/>
  <c r="I126" i="1"/>
  <c r="I127" i="1"/>
  <c r="I128" i="1"/>
  <c r="I129" i="1"/>
  <c r="I130" i="1"/>
  <c r="I131" i="1"/>
  <c r="I132" i="1"/>
  <c r="I133" i="1"/>
  <c r="I134" i="1"/>
  <c r="I135" i="1"/>
  <c r="I136" i="1"/>
  <c r="I137" i="1"/>
  <c r="J138" i="1"/>
  <c r="I138" i="1"/>
  <c r="I139" i="1"/>
  <c r="J139" i="1" s="1"/>
  <c r="J140" i="1"/>
  <c r="I140" i="1"/>
  <c r="I141" i="1"/>
  <c r="I142" i="1"/>
  <c r="I143" i="1"/>
  <c r="I144" i="1"/>
  <c r="J144" i="1"/>
  <c r="I145" i="1"/>
  <c r="I146" i="1"/>
  <c r="I147" i="1"/>
  <c r="I148" i="1"/>
  <c r="J148" i="1"/>
  <c r="I149" i="1"/>
  <c r="I150" i="1"/>
  <c r="I151" i="1"/>
  <c r="I152" i="1"/>
  <c r="I153" i="1"/>
  <c r="J154" i="1"/>
  <c r="I154" i="1"/>
  <c r="I155" i="1"/>
  <c r="I156" i="1"/>
  <c r="I157" i="1"/>
  <c r="I158" i="1"/>
  <c r="I159" i="1"/>
  <c r="I160" i="1"/>
  <c r="I161" i="1"/>
  <c r="I162" i="1"/>
  <c r="I163" i="1"/>
  <c r="I164" i="1"/>
  <c r="I165" i="1"/>
  <c r="I166" i="1"/>
  <c r="I167" i="1"/>
  <c r="J168" i="1"/>
  <c r="I168" i="1"/>
  <c r="I169" i="1"/>
  <c r="J170" i="1"/>
  <c r="I170" i="1"/>
  <c r="I171" i="1"/>
  <c r="I172" i="1"/>
  <c r="I173" i="1"/>
  <c r="I174" i="1"/>
  <c r="I175" i="1"/>
  <c r="J175" i="1" s="1"/>
  <c r="I176" i="1"/>
  <c r="I177" i="1"/>
  <c r="I178" i="1"/>
  <c r="I179" i="1"/>
  <c r="I180" i="1"/>
  <c r="I181" i="1"/>
  <c r="J182" i="1"/>
  <c r="I182" i="1"/>
  <c r="I183" i="1"/>
  <c r="I184" i="1"/>
  <c r="I185" i="1"/>
  <c r="J186" i="1"/>
  <c r="I186" i="1"/>
  <c r="I187" i="1"/>
  <c r="J187" i="1" s="1"/>
  <c r="I188" i="1"/>
  <c r="I189" i="1"/>
  <c r="I190" i="1"/>
  <c r="I191" i="1"/>
  <c r="I192" i="1"/>
  <c r="I193" i="1"/>
  <c r="I194" i="1"/>
  <c r="I195" i="1"/>
  <c r="I196" i="1"/>
  <c r="I197" i="1"/>
  <c r="I198" i="1"/>
  <c r="I199" i="1"/>
  <c r="I200" i="1"/>
  <c r="I201" i="1"/>
  <c r="J202" i="1"/>
  <c r="I202" i="1"/>
  <c r="I203" i="1"/>
  <c r="J203" i="1" s="1"/>
  <c r="J204" i="1"/>
  <c r="I204" i="1"/>
  <c r="I205" i="1"/>
  <c r="I206" i="1"/>
  <c r="I207" i="1"/>
  <c r="I208" i="1"/>
  <c r="J208" i="1"/>
  <c r="I209" i="1"/>
  <c r="I210" i="1"/>
  <c r="I211" i="1"/>
  <c r="I212" i="1"/>
  <c r="J212" i="1"/>
  <c r="I213" i="1"/>
  <c r="I214" i="1"/>
  <c r="I215" i="1"/>
  <c r="I216" i="1"/>
  <c r="I217" i="1"/>
  <c r="J218" i="1"/>
  <c r="I218" i="1"/>
  <c r="I219" i="1"/>
  <c r="I220" i="1"/>
  <c r="I221" i="1"/>
  <c r="I222" i="1"/>
  <c r="I223" i="1"/>
  <c r="I224" i="1"/>
  <c r="I225" i="1"/>
  <c r="I226" i="1"/>
  <c r="I227" i="1"/>
  <c r="I228" i="1"/>
  <c r="I229" i="1"/>
  <c r="I230" i="1"/>
  <c r="I231" i="1"/>
  <c r="J232" i="1"/>
  <c r="I232" i="1"/>
  <c r="I233" i="1"/>
  <c r="J234" i="1"/>
  <c r="I234" i="1"/>
  <c r="I235" i="1"/>
  <c r="I236" i="1"/>
  <c r="I237" i="1"/>
  <c r="I238" i="1"/>
  <c r="I239" i="1"/>
  <c r="J239" i="1" s="1"/>
  <c r="I240" i="1"/>
  <c r="I241" i="1"/>
  <c r="I242" i="1"/>
  <c r="I243" i="1"/>
  <c r="I244" i="1"/>
  <c r="I245" i="1"/>
  <c r="J246" i="1"/>
  <c r="I246" i="1"/>
  <c r="I247" i="1"/>
  <c r="I248" i="1"/>
  <c r="I249" i="1"/>
  <c r="J250" i="1"/>
  <c r="I250" i="1"/>
  <c r="I251" i="1"/>
  <c r="J251" i="1" s="1"/>
  <c r="I252" i="1"/>
  <c r="I253" i="1"/>
  <c r="I254" i="1"/>
  <c r="I255" i="1"/>
  <c r="I256" i="1"/>
  <c r="I257" i="1"/>
  <c r="I258" i="1"/>
  <c r="I259" i="1"/>
  <c r="I260" i="1"/>
  <c r="I261" i="1"/>
  <c r="I262" i="1"/>
  <c r="I263" i="1"/>
  <c r="I264" i="1"/>
  <c r="I265" i="1"/>
  <c r="J266" i="1"/>
  <c r="I266" i="1"/>
  <c r="I267" i="1"/>
  <c r="J267" i="1" s="1"/>
  <c r="J268" i="1"/>
  <c r="I268" i="1"/>
  <c r="I269" i="1"/>
  <c r="I270" i="1"/>
  <c r="I271" i="1"/>
  <c r="I272" i="1"/>
  <c r="J272" i="1"/>
  <c r="I273" i="1"/>
  <c r="I274" i="1"/>
  <c r="I275" i="1"/>
  <c r="I276" i="1"/>
  <c r="J276" i="1"/>
  <c r="I277" i="1"/>
  <c r="I278" i="1"/>
  <c r="I279" i="1"/>
  <c r="I280" i="1"/>
  <c r="I281" i="1"/>
  <c r="J282" i="1"/>
  <c r="I282" i="1"/>
  <c r="I283" i="1"/>
  <c r="I284" i="1"/>
  <c r="I285" i="1"/>
  <c r="I286" i="1"/>
  <c r="I287" i="1"/>
  <c r="I288" i="1"/>
  <c r="I289" i="1"/>
  <c r="I290" i="1"/>
  <c r="I291" i="1"/>
  <c r="I292" i="1"/>
  <c r="I293" i="1"/>
  <c r="I294" i="1"/>
  <c r="I295" i="1"/>
  <c r="J296" i="1"/>
  <c r="I296" i="1"/>
  <c r="I297" i="1"/>
  <c r="J298" i="1"/>
  <c r="I298" i="1"/>
  <c r="I299" i="1"/>
  <c r="I300" i="1"/>
  <c r="I301" i="1"/>
  <c r="I302" i="1"/>
  <c r="I303" i="1"/>
  <c r="J303" i="1" s="1"/>
  <c r="I304" i="1"/>
  <c r="I305" i="1"/>
  <c r="I306" i="1"/>
  <c r="I307" i="1"/>
  <c r="I308" i="1"/>
  <c r="I309" i="1"/>
  <c r="J310" i="1"/>
  <c r="I310" i="1"/>
  <c r="I311" i="1"/>
  <c r="I312" i="1"/>
  <c r="I313" i="1"/>
  <c r="J314" i="1"/>
  <c r="I314" i="1"/>
  <c r="I315" i="1"/>
  <c r="J315" i="1" s="1"/>
  <c r="I316" i="1"/>
  <c r="I317" i="1"/>
  <c r="I318" i="1"/>
  <c r="I319" i="1"/>
  <c r="I320" i="1"/>
  <c r="I321" i="1"/>
  <c r="I322" i="1"/>
  <c r="I323" i="1"/>
  <c r="I324" i="1"/>
  <c r="I325" i="1"/>
  <c r="I326" i="1"/>
  <c r="I327" i="1"/>
  <c r="I328" i="1"/>
  <c r="I329" i="1"/>
  <c r="J330" i="1"/>
  <c r="I330" i="1"/>
  <c r="I331" i="1"/>
  <c r="J331" i="1" s="1"/>
  <c r="J332" i="1"/>
  <c r="I332" i="1"/>
  <c r="I333" i="1"/>
  <c r="I334" i="1"/>
  <c r="I335" i="1"/>
  <c r="I336" i="1"/>
  <c r="J336" i="1"/>
  <c r="I337" i="1"/>
  <c r="I338" i="1"/>
  <c r="I339" i="1"/>
  <c r="I340" i="1"/>
  <c r="J340" i="1"/>
  <c r="I341" i="1"/>
  <c r="I342" i="1"/>
  <c r="I343" i="1"/>
  <c r="I344" i="1"/>
  <c r="I345" i="1"/>
  <c r="J346" i="1"/>
  <c r="I346" i="1"/>
  <c r="I347" i="1"/>
  <c r="J347" i="1" s="1"/>
  <c r="I348" i="1"/>
  <c r="I349" i="1"/>
  <c r="I350" i="1"/>
  <c r="I351" i="1"/>
  <c r="J351" i="1" s="1"/>
  <c r="I352" i="1"/>
  <c r="I353" i="1"/>
  <c r="I354" i="1"/>
  <c r="I355" i="1"/>
  <c r="I356" i="1"/>
  <c r="I357" i="1"/>
  <c r="I358" i="1"/>
  <c r="I359" i="1"/>
  <c r="J359" i="1" s="1"/>
  <c r="J360" i="1"/>
  <c r="I360" i="1"/>
  <c r="I361" i="1"/>
  <c r="J362" i="1"/>
  <c r="I362" i="1"/>
  <c r="G99" i="1"/>
  <c r="G100" i="1"/>
  <c r="J100" i="1" s="1"/>
  <c r="G101" i="1"/>
  <c r="J101" i="1" s="1"/>
  <c r="G102" i="1"/>
  <c r="G103" i="1"/>
  <c r="G104" i="1"/>
  <c r="G105" i="1"/>
  <c r="J105" i="1" s="1"/>
  <c r="G106" i="1"/>
  <c r="G107" i="1"/>
  <c r="G108" i="1"/>
  <c r="J108" i="1" s="1"/>
  <c r="G109" i="1"/>
  <c r="J109" i="1" s="1"/>
  <c r="G110" i="1"/>
  <c r="J110" i="1" s="1"/>
  <c r="G111" i="1"/>
  <c r="G112" i="1"/>
  <c r="J112" i="1" s="1"/>
  <c r="G113" i="1"/>
  <c r="J113" i="1" s="1"/>
  <c r="G114" i="1"/>
  <c r="G115" i="1"/>
  <c r="G116" i="1"/>
  <c r="J116" i="1" s="1"/>
  <c r="G117" i="1"/>
  <c r="J117" i="1" s="1"/>
  <c r="G118" i="1"/>
  <c r="G119" i="1"/>
  <c r="G120" i="1"/>
  <c r="J120" i="1" s="1"/>
  <c r="G121" i="1"/>
  <c r="J121" i="1" s="1"/>
  <c r="G122" i="1"/>
  <c r="G123" i="1"/>
  <c r="G124" i="1"/>
  <c r="J124" i="1" s="1"/>
  <c r="G125" i="1"/>
  <c r="J125" i="1" s="1"/>
  <c r="G126" i="1"/>
  <c r="J126" i="1" s="1"/>
  <c r="G127" i="1"/>
  <c r="G128" i="1"/>
  <c r="J128" i="1" s="1"/>
  <c r="G129" i="1"/>
  <c r="J129" i="1" s="1"/>
  <c r="G130" i="1"/>
  <c r="G131" i="1"/>
  <c r="G132" i="1"/>
  <c r="J132" i="1" s="1"/>
  <c r="G133" i="1"/>
  <c r="J133" i="1" s="1"/>
  <c r="G134" i="1"/>
  <c r="G135" i="1"/>
  <c r="G136" i="1"/>
  <c r="J136" i="1" s="1"/>
  <c r="G137" i="1"/>
  <c r="J137" i="1" s="1"/>
  <c r="G138" i="1"/>
  <c r="G139" i="1"/>
  <c r="G140" i="1"/>
  <c r="G141" i="1"/>
  <c r="J141" i="1" s="1"/>
  <c r="G142" i="1"/>
  <c r="J142" i="1" s="1"/>
  <c r="G143" i="1"/>
  <c r="G144" i="1"/>
  <c r="G145" i="1"/>
  <c r="J145" i="1" s="1"/>
  <c r="G146" i="1"/>
  <c r="G147" i="1"/>
  <c r="G148" i="1"/>
  <c r="G149" i="1"/>
  <c r="J149" i="1" s="1"/>
  <c r="G150" i="1"/>
  <c r="G151" i="1"/>
  <c r="G152" i="1"/>
  <c r="J152" i="1" s="1"/>
  <c r="G153" i="1"/>
  <c r="J153" i="1" s="1"/>
  <c r="G154" i="1"/>
  <c r="G155" i="1"/>
  <c r="G156" i="1"/>
  <c r="J156" i="1" s="1"/>
  <c r="G157" i="1"/>
  <c r="J157" i="1" s="1"/>
  <c r="G158" i="1"/>
  <c r="J158" i="1" s="1"/>
  <c r="G159" i="1"/>
  <c r="G160" i="1"/>
  <c r="J160" i="1" s="1"/>
  <c r="G161" i="1"/>
  <c r="J161" i="1" s="1"/>
  <c r="G162" i="1"/>
  <c r="G163" i="1"/>
  <c r="G164" i="1"/>
  <c r="J164" i="1" s="1"/>
  <c r="G165" i="1"/>
  <c r="J165" i="1" s="1"/>
  <c r="G166" i="1"/>
  <c r="G167" i="1"/>
  <c r="G168" i="1"/>
  <c r="G169" i="1"/>
  <c r="J169" i="1" s="1"/>
  <c r="G170" i="1"/>
  <c r="G171" i="1"/>
  <c r="G172" i="1"/>
  <c r="J172" i="1" s="1"/>
  <c r="G173" i="1"/>
  <c r="J173" i="1" s="1"/>
  <c r="G174" i="1"/>
  <c r="J174" i="1" s="1"/>
  <c r="G175" i="1"/>
  <c r="G176" i="1"/>
  <c r="J176" i="1" s="1"/>
  <c r="G177" i="1"/>
  <c r="J177" i="1" s="1"/>
  <c r="G178" i="1"/>
  <c r="G179" i="1"/>
  <c r="G180" i="1"/>
  <c r="J180" i="1" s="1"/>
  <c r="G181" i="1"/>
  <c r="J181" i="1" s="1"/>
  <c r="G182" i="1"/>
  <c r="G183" i="1"/>
  <c r="G184" i="1"/>
  <c r="J184" i="1" s="1"/>
  <c r="G185" i="1"/>
  <c r="J185" i="1" s="1"/>
  <c r="G186" i="1"/>
  <c r="G187" i="1"/>
  <c r="G188" i="1"/>
  <c r="J188" i="1" s="1"/>
  <c r="G189" i="1"/>
  <c r="J189" i="1" s="1"/>
  <c r="G190" i="1"/>
  <c r="J190" i="1" s="1"/>
  <c r="G191" i="1"/>
  <c r="G192" i="1"/>
  <c r="J192" i="1" s="1"/>
  <c r="G193" i="1"/>
  <c r="J193" i="1" s="1"/>
  <c r="G194" i="1"/>
  <c r="G195" i="1"/>
  <c r="G196" i="1"/>
  <c r="J196" i="1" s="1"/>
  <c r="G197" i="1"/>
  <c r="J197" i="1" s="1"/>
  <c r="G198" i="1"/>
  <c r="G199" i="1"/>
  <c r="G200" i="1"/>
  <c r="J200" i="1" s="1"/>
  <c r="G201" i="1"/>
  <c r="J201" i="1" s="1"/>
  <c r="G202" i="1"/>
  <c r="G203" i="1"/>
  <c r="G204" i="1"/>
  <c r="G205" i="1"/>
  <c r="J205" i="1" s="1"/>
  <c r="G206" i="1"/>
  <c r="J206" i="1" s="1"/>
  <c r="G207" i="1"/>
  <c r="G208" i="1"/>
  <c r="G209" i="1"/>
  <c r="J209" i="1" s="1"/>
  <c r="G210" i="1"/>
  <c r="G211" i="1"/>
  <c r="G212" i="1"/>
  <c r="G213" i="1"/>
  <c r="J213" i="1" s="1"/>
  <c r="G214" i="1"/>
  <c r="G215" i="1"/>
  <c r="G216" i="1"/>
  <c r="J216" i="1" s="1"/>
  <c r="G217" i="1"/>
  <c r="J217" i="1" s="1"/>
  <c r="G218" i="1"/>
  <c r="G219" i="1"/>
  <c r="G220" i="1"/>
  <c r="J220" i="1" s="1"/>
  <c r="G221" i="1"/>
  <c r="J221" i="1" s="1"/>
  <c r="G222" i="1"/>
  <c r="J222" i="1" s="1"/>
  <c r="G223" i="1"/>
  <c r="G224" i="1"/>
  <c r="J224" i="1" s="1"/>
  <c r="G225" i="1"/>
  <c r="J225" i="1" s="1"/>
  <c r="G226" i="1"/>
  <c r="G227" i="1"/>
  <c r="G228" i="1"/>
  <c r="J228" i="1" s="1"/>
  <c r="G229" i="1"/>
  <c r="J229" i="1" s="1"/>
  <c r="G230" i="1"/>
  <c r="G231" i="1"/>
  <c r="G232" i="1"/>
  <c r="G233" i="1"/>
  <c r="J233" i="1" s="1"/>
  <c r="G234" i="1"/>
  <c r="G235" i="1"/>
  <c r="G236" i="1"/>
  <c r="J236" i="1" s="1"/>
  <c r="G237" i="1"/>
  <c r="J237" i="1" s="1"/>
  <c r="G238" i="1"/>
  <c r="J238" i="1" s="1"/>
  <c r="G239" i="1"/>
  <c r="G240" i="1"/>
  <c r="J240" i="1" s="1"/>
  <c r="G241" i="1"/>
  <c r="J241" i="1" s="1"/>
  <c r="G242" i="1"/>
  <c r="G243" i="1"/>
  <c r="G244" i="1"/>
  <c r="J244" i="1" s="1"/>
  <c r="G245" i="1"/>
  <c r="J245" i="1" s="1"/>
  <c r="G246" i="1"/>
  <c r="G247" i="1"/>
  <c r="G248" i="1"/>
  <c r="J248" i="1" s="1"/>
  <c r="G249" i="1"/>
  <c r="J249" i="1" s="1"/>
  <c r="G250" i="1"/>
  <c r="G251" i="1"/>
  <c r="G252" i="1"/>
  <c r="J252" i="1" s="1"/>
  <c r="G253" i="1"/>
  <c r="J253" i="1" s="1"/>
  <c r="G254" i="1"/>
  <c r="J254" i="1" s="1"/>
  <c r="G255" i="1"/>
  <c r="G256" i="1"/>
  <c r="J256" i="1" s="1"/>
  <c r="G257" i="1"/>
  <c r="J257" i="1" s="1"/>
  <c r="G258" i="1"/>
  <c r="G259" i="1"/>
  <c r="G260" i="1"/>
  <c r="J260" i="1" s="1"/>
  <c r="G261" i="1"/>
  <c r="J261" i="1" s="1"/>
  <c r="G262" i="1"/>
  <c r="G263" i="1"/>
  <c r="G264" i="1"/>
  <c r="J264" i="1" s="1"/>
  <c r="G265" i="1"/>
  <c r="J265" i="1" s="1"/>
  <c r="G266" i="1"/>
  <c r="G267" i="1"/>
  <c r="G268" i="1"/>
  <c r="G269" i="1"/>
  <c r="J269" i="1" s="1"/>
  <c r="G270" i="1"/>
  <c r="J270" i="1" s="1"/>
  <c r="G271" i="1"/>
  <c r="G272" i="1"/>
  <c r="G273" i="1"/>
  <c r="J273" i="1" s="1"/>
  <c r="G274" i="1"/>
  <c r="G275" i="1"/>
  <c r="G276" i="1"/>
  <c r="G277" i="1"/>
  <c r="J277" i="1" s="1"/>
  <c r="G278" i="1"/>
  <c r="G279" i="1"/>
  <c r="G280" i="1"/>
  <c r="J280" i="1" s="1"/>
  <c r="G281" i="1"/>
  <c r="J281" i="1" s="1"/>
  <c r="G282" i="1"/>
  <c r="G283" i="1"/>
  <c r="G284" i="1"/>
  <c r="J284" i="1" s="1"/>
  <c r="G285" i="1"/>
  <c r="J285" i="1" s="1"/>
  <c r="G286" i="1"/>
  <c r="J286" i="1" s="1"/>
  <c r="G287" i="1"/>
  <c r="G288" i="1"/>
  <c r="J288" i="1" s="1"/>
  <c r="G289" i="1"/>
  <c r="J289" i="1" s="1"/>
  <c r="G290" i="1"/>
  <c r="G291" i="1"/>
  <c r="G292" i="1"/>
  <c r="J292" i="1" s="1"/>
  <c r="G293" i="1"/>
  <c r="J293" i="1" s="1"/>
  <c r="G294" i="1"/>
  <c r="G295" i="1"/>
  <c r="G296" i="1"/>
  <c r="G297" i="1"/>
  <c r="J297" i="1" s="1"/>
  <c r="G298" i="1"/>
  <c r="G299" i="1"/>
  <c r="G300" i="1"/>
  <c r="J300" i="1" s="1"/>
  <c r="G301" i="1"/>
  <c r="J301" i="1" s="1"/>
  <c r="G302" i="1"/>
  <c r="J302" i="1" s="1"/>
  <c r="G303" i="1"/>
  <c r="G304" i="1"/>
  <c r="J304" i="1" s="1"/>
  <c r="G305" i="1"/>
  <c r="J305" i="1" s="1"/>
  <c r="G306" i="1"/>
  <c r="G307" i="1"/>
  <c r="G308" i="1"/>
  <c r="J308" i="1" s="1"/>
  <c r="G309" i="1"/>
  <c r="J309" i="1" s="1"/>
  <c r="G310" i="1"/>
  <c r="G311" i="1"/>
  <c r="G312" i="1"/>
  <c r="J312" i="1" s="1"/>
  <c r="G313" i="1"/>
  <c r="J313" i="1" s="1"/>
  <c r="G314" i="1"/>
  <c r="G315" i="1"/>
  <c r="G316" i="1"/>
  <c r="J316" i="1" s="1"/>
  <c r="G317" i="1"/>
  <c r="J317" i="1" s="1"/>
  <c r="G318" i="1"/>
  <c r="J318" i="1" s="1"/>
  <c r="G319" i="1"/>
  <c r="G320" i="1"/>
  <c r="J320" i="1" s="1"/>
  <c r="G321" i="1"/>
  <c r="J321" i="1" s="1"/>
  <c r="G322" i="1"/>
  <c r="G323" i="1"/>
  <c r="G324" i="1"/>
  <c r="J324" i="1" s="1"/>
  <c r="G325" i="1"/>
  <c r="J325" i="1" s="1"/>
  <c r="G326" i="1"/>
  <c r="G327" i="1"/>
  <c r="G328" i="1"/>
  <c r="J328" i="1" s="1"/>
  <c r="G329" i="1"/>
  <c r="J329" i="1" s="1"/>
  <c r="G330" i="1"/>
  <c r="G331" i="1"/>
  <c r="G332" i="1"/>
  <c r="G333" i="1"/>
  <c r="J333" i="1" s="1"/>
  <c r="G334" i="1"/>
  <c r="J334" i="1" s="1"/>
  <c r="G335" i="1"/>
  <c r="G336" i="1"/>
  <c r="G337" i="1"/>
  <c r="J337" i="1" s="1"/>
  <c r="G338" i="1"/>
  <c r="G339" i="1"/>
  <c r="G340" i="1"/>
  <c r="G341" i="1"/>
  <c r="J341" i="1" s="1"/>
  <c r="G342" i="1"/>
  <c r="G343" i="1"/>
  <c r="G344" i="1"/>
  <c r="J344" i="1" s="1"/>
  <c r="G345" i="1"/>
  <c r="J345" i="1" s="1"/>
  <c r="G346" i="1"/>
  <c r="G347" i="1"/>
  <c r="G348" i="1"/>
  <c r="J348" i="1" s="1"/>
  <c r="G349" i="1"/>
  <c r="J349" i="1" s="1"/>
  <c r="G350" i="1"/>
  <c r="G351" i="1"/>
  <c r="G352" i="1"/>
  <c r="J352" i="1" s="1"/>
  <c r="G353" i="1"/>
  <c r="J353" i="1" s="1"/>
  <c r="G354" i="1"/>
  <c r="G355" i="1"/>
  <c r="G356" i="1"/>
  <c r="J356" i="1" s="1"/>
  <c r="G357" i="1"/>
  <c r="J357" i="1" s="1"/>
  <c r="G358" i="1"/>
  <c r="G359" i="1"/>
  <c r="G360" i="1"/>
  <c r="G361" i="1"/>
  <c r="J361" i="1" s="1"/>
  <c r="G362" i="1"/>
  <c r="G93" i="1"/>
  <c r="J93" i="1" s="1"/>
  <c r="G94" i="1"/>
  <c r="J94" i="1" s="1"/>
  <c r="G95" i="1"/>
  <c r="G96" i="1"/>
  <c r="G97" i="1"/>
  <c r="J97" i="1" s="1"/>
  <c r="G98" i="1"/>
  <c r="J98" i="1" s="1"/>
  <c r="H7" i="2"/>
  <c r="H11" i="2"/>
  <c r="H15" i="2"/>
  <c r="H19" i="2"/>
  <c r="H23" i="2"/>
  <c r="H27" i="2"/>
  <c r="H31" i="2"/>
  <c r="H35" i="2"/>
  <c r="H39" i="2"/>
  <c r="H43" i="2"/>
  <c r="H47" i="2"/>
  <c r="H51" i="2"/>
  <c r="H55" i="2"/>
  <c r="H59" i="2"/>
  <c r="H63" i="2"/>
  <c r="H67" i="2"/>
  <c r="H71" i="2"/>
  <c r="H75" i="2"/>
  <c r="H79" i="2"/>
  <c r="H83" i="2"/>
  <c r="H87" i="2"/>
  <c r="H91" i="2"/>
  <c r="I92" i="2"/>
  <c r="G92" i="2"/>
  <c r="H92" i="2" s="1"/>
  <c r="I91" i="2"/>
  <c r="G91" i="2"/>
  <c r="I90" i="2"/>
  <c r="G90" i="2"/>
  <c r="H90" i="2" s="1"/>
  <c r="I89" i="2"/>
  <c r="G89" i="2"/>
  <c r="H89" i="2" s="1"/>
  <c r="I88" i="2"/>
  <c r="G88" i="2"/>
  <c r="H88" i="2" s="1"/>
  <c r="I87" i="2"/>
  <c r="G87" i="2"/>
  <c r="I86" i="2"/>
  <c r="G86" i="2"/>
  <c r="H86" i="2" s="1"/>
  <c r="I85" i="2"/>
  <c r="G85" i="2"/>
  <c r="H85" i="2" s="1"/>
  <c r="I84" i="2"/>
  <c r="G84" i="2"/>
  <c r="H84" i="2" s="1"/>
  <c r="I83" i="2"/>
  <c r="G83" i="2"/>
  <c r="I82" i="2"/>
  <c r="G82" i="2"/>
  <c r="H82" i="2" s="1"/>
  <c r="I81" i="2"/>
  <c r="G81" i="2"/>
  <c r="H81" i="2" s="1"/>
  <c r="I80" i="2"/>
  <c r="G80" i="2"/>
  <c r="H80" i="2" s="1"/>
  <c r="I79" i="2"/>
  <c r="G79" i="2"/>
  <c r="I78" i="2"/>
  <c r="G78" i="2"/>
  <c r="H78" i="2" s="1"/>
  <c r="I77" i="2"/>
  <c r="G77" i="2"/>
  <c r="H77" i="2" s="1"/>
  <c r="I76" i="2"/>
  <c r="G76" i="2"/>
  <c r="H76" i="2" s="1"/>
  <c r="I75" i="2"/>
  <c r="G75" i="2"/>
  <c r="I74" i="2"/>
  <c r="G74" i="2"/>
  <c r="H74" i="2" s="1"/>
  <c r="I73" i="2"/>
  <c r="G73" i="2"/>
  <c r="H73" i="2" s="1"/>
  <c r="I72" i="2"/>
  <c r="G72" i="2"/>
  <c r="H72" i="2" s="1"/>
  <c r="I71" i="2"/>
  <c r="G71" i="2"/>
  <c r="I70" i="2"/>
  <c r="G70" i="2"/>
  <c r="H70" i="2" s="1"/>
  <c r="I69" i="2"/>
  <c r="G69" i="2"/>
  <c r="H69" i="2" s="1"/>
  <c r="I68" i="2"/>
  <c r="G68" i="2"/>
  <c r="H68" i="2" s="1"/>
  <c r="I67" i="2"/>
  <c r="G67" i="2"/>
  <c r="I66" i="2"/>
  <c r="G66" i="2"/>
  <c r="H66" i="2" s="1"/>
  <c r="I65" i="2"/>
  <c r="G65" i="2"/>
  <c r="H65" i="2" s="1"/>
  <c r="I64" i="2"/>
  <c r="G64" i="2"/>
  <c r="H64" i="2" s="1"/>
  <c r="I63" i="2"/>
  <c r="G63" i="2"/>
  <c r="I62" i="2"/>
  <c r="G62" i="2"/>
  <c r="H62" i="2" s="1"/>
  <c r="I61" i="2"/>
  <c r="G61" i="2"/>
  <c r="H61" i="2" s="1"/>
  <c r="I60" i="2"/>
  <c r="G60" i="2"/>
  <c r="H60" i="2" s="1"/>
  <c r="I59" i="2"/>
  <c r="G59" i="2"/>
  <c r="I58" i="2"/>
  <c r="G58" i="2"/>
  <c r="H58" i="2" s="1"/>
  <c r="I57" i="2"/>
  <c r="G57" i="2"/>
  <c r="H57" i="2" s="1"/>
  <c r="I56" i="2"/>
  <c r="G56" i="2"/>
  <c r="H56" i="2" s="1"/>
  <c r="I55" i="2"/>
  <c r="G55" i="2"/>
  <c r="I54" i="2"/>
  <c r="G54" i="2"/>
  <c r="H54" i="2" s="1"/>
  <c r="I53" i="2"/>
  <c r="G53" i="2"/>
  <c r="H53" i="2" s="1"/>
  <c r="I52" i="2"/>
  <c r="G52" i="2"/>
  <c r="H52" i="2" s="1"/>
  <c r="I51" i="2"/>
  <c r="G51" i="2"/>
  <c r="I50" i="2"/>
  <c r="G50" i="2"/>
  <c r="H50" i="2" s="1"/>
  <c r="I49" i="2"/>
  <c r="G49" i="2"/>
  <c r="H49" i="2" s="1"/>
  <c r="I48" i="2"/>
  <c r="G48" i="2"/>
  <c r="H48" i="2" s="1"/>
  <c r="I47" i="2"/>
  <c r="G47" i="2"/>
  <c r="I46" i="2"/>
  <c r="G46" i="2"/>
  <c r="H46" i="2" s="1"/>
  <c r="I45" i="2"/>
  <c r="G45" i="2"/>
  <c r="H45" i="2" s="1"/>
  <c r="I44" i="2"/>
  <c r="G44" i="2"/>
  <c r="H44" i="2" s="1"/>
  <c r="I43" i="2"/>
  <c r="G43" i="2"/>
  <c r="I42" i="2"/>
  <c r="G42" i="2"/>
  <c r="H42" i="2" s="1"/>
  <c r="I41" i="2"/>
  <c r="G41" i="2"/>
  <c r="H41" i="2" s="1"/>
  <c r="I40" i="2"/>
  <c r="G40" i="2"/>
  <c r="H40" i="2" s="1"/>
  <c r="I39" i="2"/>
  <c r="G39" i="2"/>
  <c r="I38" i="2"/>
  <c r="G38" i="2"/>
  <c r="H38" i="2" s="1"/>
  <c r="I37" i="2"/>
  <c r="G37" i="2"/>
  <c r="H37" i="2" s="1"/>
  <c r="I36" i="2"/>
  <c r="G36" i="2"/>
  <c r="H36" i="2" s="1"/>
  <c r="I35" i="2"/>
  <c r="G35" i="2"/>
  <c r="I34" i="2"/>
  <c r="G34" i="2"/>
  <c r="H34" i="2" s="1"/>
  <c r="I33" i="2"/>
  <c r="G33" i="2"/>
  <c r="H33" i="2" s="1"/>
  <c r="I32" i="2"/>
  <c r="G32" i="2"/>
  <c r="H32" i="2" s="1"/>
  <c r="I31" i="2"/>
  <c r="G31" i="2"/>
  <c r="I30" i="2"/>
  <c r="G30" i="2"/>
  <c r="H30" i="2" s="1"/>
  <c r="I29" i="2"/>
  <c r="G29" i="2"/>
  <c r="H29" i="2" s="1"/>
  <c r="I28" i="2"/>
  <c r="G28" i="2"/>
  <c r="H28" i="2" s="1"/>
  <c r="I27" i="2"/>
  <c r="G27" i="2"/>
  <c r="I26" i="2"/>
  <c r="G26" i="2"/>
  <c r="H26" i="2" s="1"/>
  <c r="I25" i="2"/>
  <c r="G25" i="2"/>
  <c r="H25" i="2" s="1"/>
  <c r="I24" i="2"/>
  <c r="G24" i="2"/>
  <c r="H24" i="2" s="1"/>
  <c r="I23" i="2"/>
  <c r="G23" i="2"/>
  <c r="I22" i="2"/>
  <c r="G22" i="2"/>
  <c r="H22" i="2" s="1"/>
  <c r="I21" i="2"/>
  <c r="G21" i="2"/>
  <c r="H21" i="2" s="1"/>
  <c r="I20" i="2"/>
  <c r="G20" i="2"/>
  <c r="H20" i="2" s="1"/>
  <c r="I19" i="2"/>
  <c r="G19" i="2"/>
  <c r="I18" i="2"/>
  <c r="G18" i="2"/>
  <c r="H18" i="2" s="1"/>
  <c r="I17" i="2"/>
  <c r="G17" i="2"/>
  <c r="H17" i="2" s="1"/>
  <c r="I16" i="2"/>
  <c r="G16" i="2"/>
  <c r="H16" i="2" s="1"/>
  <c r="I15" i="2"/>
  <c r="G15" i="2"/>
  <c r="I14" i="2"/>
  <c r="G14" i="2"/>
  <c r="H14" i="2" s="1"/>
  <c r="I13" i="2"/>
  <c r="G13" i="2"/>
  <c r="H13" i="2" s="1"/>
  <c r="I12" i="2"/>
  <c r="G12" i="2"/>
  <c r="H12" i="2" s="1"/>
  <c r="I11" i="2"/>
  <c r="G11" i="2"/>
  <c r="I10" i="2"/>
  <c r="G10" i="2"/>
  <c r="H10" i="2" s="1"/>
  <c r="I9" i="2"/>
  <c r="G9" i="2"/>
  <c r="H9" i="2" s="1"/>
  <c r="I8" i="2"/>
  <c r="G8" i="2"/>
  <c r="H8" i="2" s="1"/>
  <c r="I7" i="2"/>
  <c r="G7" i="2"/>
  <c r="I6" i="2"/>
  <c r="G6" i="2"/>
  <c r="H6" i="2" s="1"/>
  <c r="I5" i="2"/>
  <c r="G5" i="2"/>
  <c r="H5" i="2" s="1"/>
  <c r="I4" i="2"/>
  <c r="G4" i="2"/>
  <c r="I3" i="2"/>
  <c r="G3" i="2"/>
  <c r="H3" i="2" s="1"/>
  <c r="H4" i="2" l="1"/>
  <c r="J4" i="2" s="1"/>
  <c r="J326" i="1"/>
  <c r="J319" i="1"/>
  <c r="J262" i="1"/>
  <c r="J255" i="1"/>
  <c r="J198" i="1"/>
  <c r="J191" i="1"/>
  <c r="J134" i="1"/>
  <c r="J127" i="1"/>
  <c r="J342" i="1"/>
  <c r="J335" i="1"/>
  <c r="J283" i="1"/>
  <c r="J278" i="1"/>
  <c r="J271" i="1"/>
  <c r="J219" i="1"/>
  <c r="J214" i="1"/>
  <c r="J207" i="1"/>
  <c r="J155" i="1"/>
  <c r="J150" i="1"/>
  <c r="J143" i="1"/>
  <c r="J95" i="1"/>
  <c r="J350" i="1"/>
  <c r="J358" i="1"/>
  <c r="J354" i="1"/>
  <c r="J299" i="1"/>
  <c r="J294" i="1"/>
  <c r="J287" i="1"/>
  <c r="J235" i="1"/>
  <c r="J230" i="1"/>
  <c r="J223" i="1"/>
  <c r="J171" i="1"/>
  <c r="J166" i="1"/>
  <c r="J159" i="1"/>
  <c r="J107" i="1"/>
  <c r="J102" i="1"/>
  <c r="J114" i="2"/>
  <c r="J122" i="2"/>
  <c r="J130" i="2"/>
  <c r="J138" i="2"/>
  <c r="J146" i="2"/>
  <c r="J154" i="2"/>
  <c r="J162" i="2"/>
  <c r="J170" i="2"/>
  <c r="J178" i="2"/>
  <c r="J186" i="2"/>
  <c r="J322" i="1"/>
  <c r="J311" i="1"/>
  <c r="J306" i="1"/>
  <c r="J295" i="1"/>
  <c r="J290" i="1"/>
  <c r="J274" i="1"/>
  <c r="J263" i="1"/>
  <c r="J258" i="1"/>
  <c r="J247" i="1"/>
  <c r="J242" i="1"/>
  <c r="J231" i="1"/>
  <c r="J226" i="1"/>
  <c r="J215" i="1"/>
  <c r="J210" i="1"/>
  <c r="J199" i="1"/>
  <c r="J194" i="1"/>
  <c r="J183" i="1"/>
  <c r="J178" i="1"/>
  <c r="J167" i="1"/>
  <c r="J162" i="1"/>
  <c r="J151" i="1"/>
  <c r="J146" i="1"/>
  <c r="J135" i="1"/>
  <c r="J130" i="1"/>
  <c r="J119" i="1"/>
  <c r="J114" i="1"/>
  <c r="J103" i="1"/>
  <c r="J343" i="1"/>
  <c r="J338" i="1"/>
  <c r="J327" i="1"/>
  <c r="J279" i="1"/>
  <c r="J355" i="1"/>
  <c r="J339" i="1"/>
  <c r="J323" i="1"/>
  <c r="J307" i="1"/>
  <c r="J291" i="1"/>
  <c r="J275" i="1"/>
  <c r="J259" i="1"/>
  <c r="J243" i="1"/>
  <c r="J227" i="1"/>
  <c r="J211" i="1"/>
  <c r="J195" i="1"/>
  <c r="J179" i="1"/>
  <c r="J163" i="1"/>
  <c r="J147" i="1"/>
  <c r="J131" i="1"/>
  <c r="J115" i="1"/>
  <c r="J99" i="1"/>
  <c r="J294" i="2"/>
  <c r="J296" i="2"/>
  <c r="J298" i="2"/>
  <c r="J300" i="2"/>
  <c r="J302" i="2"/>
  <c r="J304" i="2"/>
  <c r="J306" i="2"/>
  <c r="J308" i="2"/>
  <c r="J310" i="2"/>
  <c r="J312" i="2"/>
  <c r="J192" i="2"/>
  <c r="J314" i="2"/>
  <c r="J316" i="2"/>
  <c r="J318" i="2"/>
  <c r="J320" i="2"/>
  <c r="J322" i="2"/>
  <c r="J324" i="2"/>
  <c r="J326" i="2"/>
  <c r="J328" i="2"/>
  <c r="J330" i="2"/>
  <c r="J332" i="2"/>
  <c r="J334" i="2"/>
  <c r="J336" i="2"/>
  <c r="J338" i="2"/>
  <c r="J340" i="2"/>
  <c r="J342" i="2"/>
  <c r="J344" i="2"/>
  <c r="J346" i="2"/>
  <c r="J348" i="2"/>
  <c r="J350" i="2"/>
  <c r="J352" i="2"/>
  <c r="J354" i="2"/>
  <c r="J356" i="2"/>
  <c r="J358" i="2"/>
  <c r="J360" i="2"/>
  <c r="J362" i="2"/>
  <c r="J1" i="5"/>
  <c r="M5" i="5" s="1"/>
  <c r="K1" i="7"/>
  <c r="N5" i="7" s="1"/>
  <c r="I83" i="3"/>
  <c r="H83" i="3"/>
  <c r="J5" i="2"/>
  <c r="J10" i="2"/>
  <c r="J21" i="2"/>
  <c r="J37" i="2"/>
  <c r="J53" i="2"/>
  <c r="J67" i="2"/>
  <c r="J7" i="2"/>
  <c r="J9" i="2"/>
  <c r="J23" i="2"/>
  <c r="J25" i="2"/>
  <c r="J39" i="2"/>
  <c r="J41" i="2"/>
  <c r="J55" i="2"/>
  <c r="J57" i="2"/>
  <c r="J71" i="2"/>
  <c r="J73" i="2"/>
  <c r="J87" i="2"/>
  <c r="J89" i="2"/>
  <c r="J12" i="2"/>
  <c r="J19" i="2"/>
  <c r="J35" i="2"/>
  <c r="J51" i="2"/>
  <c r="J69" i="2"/>
  <c r="J83" i="2"/>
  <c r="J85" i="2"/>
  <c r="J11" i="2"/>
  <c r="J13" i="2"/>
  <c r="J27" i="2"/>
  <c r="J29" i="2"/>
  <c r="J43" i="2"/>
  <c r="J45" i="2"/>
  <c r="J59" i="2"/>
  <c r="J61" i="2"/>
  <c r="J75" i="2"/>
  <c r="J77" i="2"/>
  <c r="J91" i="2"/>
  <c r="J6" i="2"/>
  <c r="J8" i="2"/>
  <c r="J15" i="2"/>
  <c r="J17" i="2"/>
  <c r="J31" i="2"/>
  <c r="J33" i="2"/>
  <c r="J47" i="2"/>
  <c r="J49" i="2"/>
  <c r="J63" i="2"/>
  <c r="J65" i="2"/>
  <c r="J79" i="2"/>
  <c r="J81" i="2"/>
  <c r="J3" i="2"/>
  <c r="I3" i="1"/>
  <c r="J3" i="1" s="1"/>
  <c r="I4" i="1"/>
  <c r="I5" i="1"/>
  <c r="I6" i="1"/>
  <c r="I7" i="1"/>
  <c r="I8" i="1"/>
  <c r="I9" i="1"/>
  <c r="I10" i="1"/>
  <c r="I11" i="1"/>
  <c r="I12" i="1"/>
  <c r="I13" i="1"/>
  <c r="I14" i="1"/>
  <c r="I15" i="1"/>
  <c r="I16" i="1"/>
  <c r="I17" i="1"/>
  <c r="I18" i="1"/>
  <c r="I19" i="1"/>
  <c r="I20" i="1"/>
  <c r="I21" i="1"/>
  <c r="I22" i="1"/>
  <c r="I23" i="1"/>
  <c r="I24" i="1"/>
  <c r="I25" i="1"/>
  <c r="I26" i="1"/>
  <c r="I27" i="1"/>
  <c r="I28" i="1"/>
  <c r="I29" i="1"/>
  <c r="I30" i="1"/>
  <c r="I31" i="1"/>
  <c r="I32" i="1"/>
  <c r="J5" i="1"/>
  <c r="J9" i="1"/>
  <c r="J13" i="1"/>
  <c r="J25" i="1"/>
  <c r="J29" i="1"/>
  <c r="J4" i="1"/>
  <c r="J6" i="1"/>
  <c r="J7" i="1"/>
  <c r="G8" i="1"/>
  <c r="J8" i="1" s="1"/>
  <c r="G9" i="1"/>
  <c r="G10" i="1"/>
  <c r="J10" i="1" s="1"/>
  <c r="G11" i="1"/>
  <c r="J11" i="1" s="1"/>
  <c r="G12" i="1"/>
  <c r="J12" i="1" s="1"/>
  <c r="G13" i="1"/>
  <c r="G14" i="1"/>
  <c r="J14" i="1" s="1"/>
  <c r="G15" i="1"/>
  <c r="J15" i="1" s="1"/>
  <c r="G16" i="1"/>
  <c r="J16" i="1" s="1"/>
  <c r="G17" i="1"/>
  <c r="J17" i="1" s="1"/>
  <c r="G18" i="1"/>
  <c r="J18" i="1" s="1"/>
  <c r="G19" i="1"/>
  <c r="J19" i="1" s="1"/>
  <c r="G20" i="1"/>
  <c r="J20" i="1" s="1"/>
  <c r="G21" i="1"/>
  <c r="J21" i="1" s="1"/>
  <c r="G22" i="1"/>
  <c r="J22" i="1" s="1"/>
  <c r="G23" i="1"/>
  <c r="J23" i="1" s="1"/>
  <c r="G24" i="1"/>
  <c r="J24" i="1" s="1"/>
  <c r="G25" i="1"/>
  <c r="G26" i="1"/>
  <c r="J26" i="1" s="1"/>
  <c r="G27" i="1"/>
  <c r="J27" i="1" s="1"/>
  <c r="G28" i="1"/>
  <c r="J28" i="1" s="1"/>
  <c r="G29" i="1"/>
  <c r="G30" i="1"/>
  <c r="J30" i="1" s="1"/>
  <c r="G31" i="1"/>
  <c r="J31" i="1" s="1"/>
  <c r="G32" i="1"/>
  <c r="J32" i="1" s="1"/>
  <c r="J14" i="2" l="1"/>
  <c r="I36" i="1"/>
  <c r="I37" i="1"/>
  <c r="I38" i="1"/>
  <c r="I39" i="1"/>
  <c r="I40" i="1"/>
  <c r="I41" i="1"/>
  <c r="I42" i="1"/>
  <c r="I43" i="1"/>
  <c r="I44" i="1"/>
  <c r="I45" i="1"/>
  <c r="I46" i="1"/>
  <c r="I47" i="1"/>
  <c r="I48" i="1"/>
  <c r="I49" i="1"/>
  <c r="I50" i="1"/>
  <c r="I51" i="1"/>
  <c r="I52" i="1"/>
  <c r="I53" i="1"/>
  <c r="I54" i="1"/>
  <c r="I55" i="1"/>
  <c r="I56" i="1"/>
  <c r="I57" i="1"/>
  <c r="I58" i="1"/>
  <c r="I59" i="1"/>
  <c r="I60" i="1"/>
  <c r="I61" i="1"/>
  <c r="I62" i="1"/>
  <c r="I63" i="1"/>
  <c r="I64" i="1"/>
  <c r="I65" i="1"/>
  <c r="I66" i="1"/>
  <c r="I67" i="1"/>
  <c r="I68" i="1"/>
  <c r="I69" i="1"/>
  <c r="I70" i="1"/>
  <c r="I71" i="1"/>
  <c r="I72" i="1"/>
  <c r="I73" i="1"/>
  <c r="I74" i="1"/>
  <c r="I75" i="1"/>
  <c r="I76" i="1"/>
  <c r="I77" i="1"/>
  <c r="I78" i="1"/>
  <c r="I79" i="1"/>
  <c r="I80" i="1"/>
  <c r="I81" i="1"/>
  <c r="I82" i="1"/>
  <c r="I83" i="1"/>
  <c r="I84" i="1"/>
  <c r="I85" i="1"/>
  <c r="I86" i="1"/>
  <c r="I87" i="1"/>
  <c r="I88" i="1"/>
  <c r="I89" i="1"/>
  <c r="I90" i="1"/>
  <c r="I91" i="1"/>
  <c r="I92" i="1"/>
  <c r="I34" i="1"/>
  <c r="I35" i="1"/>
  <c r="I33" i="1"/>
  <c r="G63" i="1"/>
  <c r="G64" i="1"/>
  <c r="J64" i="1" s="1"/>
  <c r="G65" i="1"/>
  <c r="G66" i="1"/>
  <c r="G67" i="1"/>
  <c r="G68" i="1"/>
  <c r="G69" i="1"/>
  <c r="G70" i="1"/>
  <c r="J70" i="1" s="1"/>
  <c r="G71" i="1"/>
  <c r="G72" i="1"/>
  <c r="G73" i="1"/>
  <c r="G74" i="1"/>
  <c r="G75" i="1"/>
  <c r="G76" i="1"/>
  <c r="G77" i="1"/>
  <c r="G78" i="1"/>
  <c r="G79" i="1"/>
  <c r="G80" i="1"/>
  <c r="G81" i="1"/>
  <c r="G82" i="1"/>
  <c r="G83" i="1"/>
  <c r="G84" i="1"/>
  <c r="G85" i="1"/>
  <c r="G86" i="1"/>
  <c r="J86" i="1" s="1"/>
  <c r="G87" i="1"/>
  <c r="G88" i="1"/>
  <c r="G89" i="1"/>
  <c r="G90" i="1"/>
  <c r="G91" i="1"/>
  <c r="G92" i="1"/>
  <c r="J92" i="1" s="1"/>
  <c r="G34" i="1"/>
  <c r="J34" i="1" s="1"/>
  <c r="G35" i="1"/>
  <c r="G36" i="1"/>
  <c r="G37" i="1"/>
  <c r="G38" i="1"/>
  <c r="G39" i="1"/>
  <c r="G40" i="1"/>
  <c r="G41" i="1"/>
  <c r="G42" i="1"/>
  <c r="J42" i="1" s="1"/>
  <c r="G43" i="1"/>
  <c r="G44" i="1"/>
  <c r="G45" i="1"/>
  <c r="G46" i="1"/>
  <c r="J46" i="1" s="1"/>
  <c r="G47" i="1"/>
  <c r="G48" i="1"/>
  <c r="G49" i="1"/>
  <c r="G50" i="1"/>
  <c r="J50" i="1" s="1"/>
  <c r="G51" i="1"/>
  <c r="G52" i="1"/>
  <c r="G53" i="1"/>
  <c r="G54" i="1"/>
  <c r="J54" i="1" s="1"/>
  <c r="G55" i="1"/>
  <c r="G56" i="1"/>
  <c r="G57" i="1"/>
  <c r="G58" i="1"/>
  <c r="J58" i="1" s="1"/>
  <c r="G59" i="1"/>
  <c r="G60" i="1"/>
  <c r="G61" i="1"/>
  <c r="G62" i="1"/>
  <c r="J62" i="1" s="1"/>
  <c r="G33" i="1"/>
  <c r="J61" i="1" l="1"/>
  <c r="J57" i="1"/>
  <c r="J53" i="1"/>
  <c r="J49" i="1"/>
  <c r="J45" i="1"/>
  <c r="J41" i="1"/>
  <c r="J37" i="1"/>
  <c r="J89" i="1"/>
  <c r="J85" i="1"/>
  <c r="J60" i="1"/>
  <c r="J56" i="1"/>
  <c r="J52" i="1"/>
  <c r="J48" i="1"/>
  <c r="J88" i="1"/>
  <c r="J84" i="1"/>
  <c r="J81" i="1"/>
  <c r="J77" i="1"/>
  <c r="J73" i="1"/>
  <c r="J69" i="1"/>
  <c r="J80" i="1"/>
  <c r="J76" i="1"/>
  <c r="J72" i="1"/>
  <c r="J68" i="1"/>
  <c r="J65" i="1"/>
  <c r="J16" i="2"/>
  <c r="J78" i="1"/>
  <c r="J35" i="1"/>
  <c r="J33" i="1"/>
  <c r="J59" i="1"/>
  <c r="J55" i="1"/>
  <c r="J47" i="1"/>
  <c r="J43" i="1"/>
  <c r="J39" i="1"/>
  <c r="J90" i="1"/>
  <c r="J82" i="1"/>
  <c r="J74" i="1"/>
  <c r="J66" i="1"/>
  <c r="J44" i="1"/>
  <c r="J40" i="1"/>
  <c r="J36" i="1"/>
  <c r="J91" i="1"/>
  <c r="J87" i="1"/>
  <c r="J83" i="1"/>
  <c r="J79" i="1"/>
  <c r="J75" i="1"/>
  <c r="J71" i="1"/>
  <c r="J67" i="1"/>
  <c r="J63" i="1"/>
  <c r="J51" i="1"/>
  <c r="J38" i="1"/>
  <c r="J1" i="1" l="1"/>
  <c r="O6" i="1" s="1"/>
  <c r="J18" i="2"/>
  <c r="J20" i="2" l="1"/>
  <c r="J22" i="2" l="1"/>
  <c r="J24" i="2" l="1"/>
  <c r="J26" i="2" l="1"/>
  <c r="J28" i="2" l="1"/>
  <c r="J30" i="2" l="1"/>
  <c r="J32" i="2" l="1"/>
  <c r="J34" i="2" l="1"/>
  <c r="J36" i="2" l="1"/>
  <c r="J38" i="2" l="1"/>
  <c r="J40" i="2" l="1"/>
  <c r="J42" i="2" l="1"/>
  <c r="J44" i="2" l="1"/>
  <c r="J46" i="2" l="1"/>
  <c r="J48" i="2" l="1"/>
  <c r="J50" i="2" l="1"/>
  <c r="J52" i="2" l="1"/>
  <c r="J54" i="2" l="1"/>
  <c r="J56" i="2" l="1"/>
  <c r="J58" i="2" l="1"/>
  <c r="J60" i="2" l="1"/>
  <c r="J62" i="2" l="1"/>
  <c r="J64" i="2" l="1"/>
  <c r="J66" i="2" l="1"/>
  <c r="J68" i="2" l="1"/>
  <c r="J70" i="2" l="1"/>
  <c r="J72" i="2" l="1"/>
  <c r="J74" i="2" l="1"/>
  <c r="J76" i="2" l="1"/>
  <c r="J78" i="2" l="1"/>
  <c r="J80" i="2" l="1"/>
  <c r="J82" i="2" l="1"/>
  <c r="J84" i="2" l="1"/>
  <c r="J86" i="2" l="1"/>
  <c r="J88" i="2" l="1"/>
  <c r="J92" i="2" l="1"/>
  <c r="J90" i="2"/>
  <c r="J1" i="2" l="1"/>
</calcChain>
</file>

<file path=xl/sharedStrings.xml><?xml version="1.0" encoding="utf-8"?>
<sst xmlns="http://schemas.openxmlformats.org/spreadsheetml/2006/main" count="1687" uniqueCount="137">
  <si>
    <t>ARI</t>
  </si>
  <si>
    <t>ATL</t>
  </si>
  <si>
    <t>BAL</t>
  </si>
  <si>
    <t>BOS</t>
  </si>
  <si>
    <t>CHC</t>
  </si>
  <si>
    <t>CHW</t>
  </si>
  <si>
    <t>CIN</t>
  </si>
  <si>
    <t>CLE</t>
  </si>
  <si>
    <t>COL</t>
  </si>
  <si>
    <t>DET</t>
  </si>
  <si>
    <t>HOU</t>
  </si>
  <si>
    <t>KCR</t>
  </si>
  <si>
    <t>LAA</t>
  </si>
  <si>
    <t>LAD</t>
  </si>
  <si>
    <t>MIA</t>
  </si>
  <si>
    <t>MIL</t>
  </si>
  <si>
    <t>MIN</t>
  </si>
  <si>
    <t>NYM</t>
  </si>
  <si>
    <t>NYY</t>
  </si>
  <si>
    <t>OAK</t>
  </si>
  <si>
    <t>PHI</t>
  </si>
  <si>
    <t>PIT</t>
  </si>
  <si>
    <t>SDP</t>
  </si>
  <si>
    <t>SEA</t>
  </si>
  <si>
    <t>SFG</t>
  </si>
  <si>
    <t>STL</t>
  </si>
  <si>
    <t>TBR</t>
  </si>
  <si>
    <t>TEX</t>
  </si>
  <si>
    <t>TOR</t>
  </si>
  <si>
    <t>WSN</t>
  </si>
  <si>
    <t>Ratio</t>
  </si>
  <si>
    <t>Pred W-L%</t>
  </si>
  <si>
    <t>Act W-L%</t>
  </si>
  <si>
    <t>Error</t>
  </si>
  <si>
    <t>MAD:</t>
  </si>
  <si>
    <t>Team</t>
  </si>
  <si>
    <t>Wins</t>
  </si>
  <si>
    <t>Losses</t>
  </si>
  <si>
    <t>Opp Runs</t>
  </si>
  <si>
    <t>Runs</t>
  </si>
  <si>
    <t>exp</t>
  </si>
  <si>
    <t>Exp</t>
  </si>
  <si>
    <t>MAD</t>
  </si>
  <si>
    <t>FLA</t>
  </si>
  <si>
    <t>TBD</t>
  </si>
  <si>
    <t>Year</t>
  </si>
  <si>
    <t>Winning Team</t>
  </si>
  <si>
    <t>Losing Team</t>
  </si>
  <si>
    <t>W Pct</t>
  </si>
  <si>
    <t>CWS</t>
  </si>
  <si>
    <t>Pct True?</t>
  </si>
  <si>
    <t>Pythag True?</t>
  </si>
  <si>
    <t>Accuracy</t>
  </si>
  <si>
    <t>Points</t>
  </si>
  <si>
    <t>Opp Points</t>
  </si>
  <si>
    <t>PF</t>
  </si>
  <si>
    <t>PA</t>
  </si>
  <si>
    <t>New York Jets</t>
  </si>
  <si>
    <t>Buffalo Bills</t>
  </si>
  <si>
    <t>Miami Dolphins</t>
  </si>
  <si>
    <t>Baltimore Ravens</t>
  </si>
  <si>
    <t>Cleveland Browns</t>
  </si>
  <si>
    <t>Indianapolis Colts</t>
  </si>
  <si>
    <t>Jacksonville Jaguars</t>
  </si>
  <si>
    <t>Tennessee Titans</t>
  </si>
  <si>
    <t>Oakland Raiders</t>
  </si>
  <si>
    <t>San Diego Chargers</t>
  </si>
  <si>
    <t>Philadelphia Eagles</t>
  </si>
  <si>
    <t>New York Giants</t>
  </si>
  <si>
    <t>Dallas Cowboys</t>
  </si>
  <si>
    <t>Detroit Lions</t>
  </si>
  <si>
    <t>Chicago Bears</t>
  </si>
  <si>
    <t>Atlanta Falcons</t>
  </si>
  <si>
    <t>New Orleans Saints</t>
  </si>
  <si>
    <t>Tampa Bay Buccaneers</t>
  </si>
  <si>
    <t>St. Louis Rams</t>
  </si>
  <si>
    <t>San Francisco 49ers</t>
  </si>
  <si>
    <t>Houston Texans</t>
  </si>
  <si>
    <t>Kansas City Chiefs</t>
  </si>
  <si>
    <t>Washington Redskins</t>
  </si>
  <si>
    <t>Minnesota Vikings</t>
  </si>
  <si>
    <t>Ties</t>
  </si>
  <si>
    <t>Pittsburgh Steelers</t>
  </si>
  <si>
    <t>Arizona Cardinals</t>
  </si>
  <si>
    <t>Carolina Panthers</t>
  </si>
  <si>
    <t>Seattle Seahawks</t>
  </si>
  <si>
    <t>Cincinnati Bengals</t>
  </si>
  <si>
    <t>Denver Broncos</t>
  </si>
  <si>
    <t>New England Patriots</t>
  </si>
  <si>
    <t>Green Bay Packers</t>
  </si>
  <si>
    <t>Brooklyn Nets</t>
  </si>
  <si>
    <t>Chicago Bulls</t>
  </si>
  <si>
    <t>Denver Nuggets</t>
  </si>
  <si>
    <t>Los Angeles Lakers</t>
  </si>
  <si>
    <t>Milwaukee Bucks</t>
  </si>
  <si>
    <t>Minnesota Timberwolves</t>
  </si>
  <si>
    <t>New Orleans Pelicans</t>
  </si>
  <si>
    <t>New York Knicks</t>
  </si>
  <si>
    <t>Orlando Magic</t>
  </si>
  <si>
    <t>Philadelphia 76ers</t>
  </si>
  <si>
    <t>Phoenix Suns</t>
  </si>
  <si>
    <t>Sacramento Kings</t>
  </si>
  <si>
    <t>Utah Jazz</t>
  </si>
  <si>
    <t>Washington Wizards</t>
  </si>
  <si>
    <t>2015-16</t>
  </si>
  <si>
    <t>2014-15</t>
  </si>
  <si>
    <t>Charlotte Hornets</t>
  </si>
  <si>
    <t>Detroit Pistons</t>
  </si>
  <si>
    <t>Indiana Pacers</t>
  </si>
  <si>
    <t>Miami Heat</t>
  </si>
  <si>
    <t>Oklahoma City Thunder</t>
  </si>
  <si>
    <t>Boston Celtics</t>
  </si>
  <si>
    <t>Cleveland Cavaliers</t>
  </si>
  <si>
    <t>Dallas Mavericks</t>
  </si>
  <si>
    <t>Portland Trail Blazers</t>
  </si>
  <si>
    <t>Toronto Raptors</t>
  </si>
  <si>
    <t>Golden State Warriors</t>
  </si>
  <si>
    <t>Houston Rockets</t>
  </si>
  <si>
    <t>2010-11</t>
  </si>
  <si>
    <t>Los Angeles Clippers</t>
  </si>
  <si>
    <t>2009-10</t>
  </si>
  <si>
    <t>Memphis Grizzlies</t>
  </si>
  <si>
    <t>Atlanta Hawks</t>
  </si>
  <si>
    <t>San Antonio Spurs</t>
  </si>
  <si>
    <t>2013-14</t>
  </si>
  <si>
    <t>2012-13</t>
  </si>
  <si>
    <t>2011-12</t>
  </si>
  <si>
    <t>2008-09</t>
  </si>
  <si>
    <t>BOS def STL</t>
  </si>
  <si>
    <t>BOS def CLE</t>
  </si>
  <si>
    <t>COL def ARI</t>
  </si>
  <si>
    <t>LAA def NYY</t>
  </si>
  <si>
    <t>World Series</t>
  </si>
  <si>
    <t>ALCS</t>
  </si>
  <si>
    <t>NLCS</t>
  </si>
  <si>
    <t>ALDS</t>
  </si>
  <si>
    <t>Discounted for tied W/L records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</si>
</sst>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64" formatCode="0.00000"/>
    <numFmt numFmtId="165" formatCode="0.000"/>
  </numFmts>
  <fonts count="22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8"/>
      <color theme="3"/>
      <name val="Calibri Light"/>
      <family val="2"/>
      <scheme val="major"/>
    </font>
    <font>
      <b/>
      <sz val="15"/>
      <color theme="3"/>
      <name val="Calibri"/>
      <family val="2"/>
      <scheme val="minor"/>
    </font>
    <font>
      <b/>
      <sz val="13"/>
      <color theme="3"/>
      <name val="Calibri"/>
      <family val="2"/>
      <scheme val="minor"/>
    </font>
    <font>
      <b/>
      <sz val="11"/>
      <color theme="3"/>
      <name val="Calibri"/>
      <family val="2"/>
      <scheme val="minor"/>
    </font>
    <font>
      <sz val="11"/>
      <color rgb="FF006100"/>
      <name val="Calibri"/>
      <family val="2"/>
      <scheme val="minor"/>
    </font>
    <font>
      <sz val="11"/>
      <color rgb="FF9C0006"/>
      <name val="Calibri"/>
      <family val="2"/>
      <scheme val="minor"/>
    </font>
    <font>
      <sz val="11"/>
      <color rgb="FF9C6500"/>
      <name val="Calibri"/>
      <family val="2"/>
      <scheme val="minor"/>
    </font>
    <font>
      <sz val="11"/>
      <color rgb="FF3F3F76"/>
      <name val="Calibri"/>
      <family val="2"/>
      <scheme val="minor"/>
    </font>
    <font>
      <b/>
      <sz val="11"/>
      <color rgb="FF3F3F3F"/>
      <name val="Calibri"/>
      <family val="2"/>
      <scheme val="minor"/>
    </font>
    <font>
      <b/>
      <sz val="11"/>
      <color rgb="FFFA7D00"/>
      <name val="Calibri"/>
      <family val="2"/>
      <scheme val="minor"/>
    </font>
    <font>
      <sz val="11"/>
      <color rgb="FFFA7D00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1"/>
      <color rgb="FFFF0000"/>
      <name val="Calibri"/>
      <family val="2"/>
      <scheme val="minor"/>
    </font>
    <font>
      <i/>
      <sz val="11"/>
      <color rgb="FF7F7F7F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sz val="8.8000000000000007"/>
      <color theme="1"/>
      <name val="Verdana"/>
      <family val="2"/>
    </font>
    <font>
      <u/>
      <sz val="11"/>
      <color theme="10"/>
      <name val="Calibri"/>
      <family val="2"/>
      <scheme val="minor"/>
    </font>
    <font>
      <sz val="8.8000000000000007"/>
      <color rgb="FF000000"/>
      <name val="Verdana"/>
      <family val="2"/>
    </font>
    <font>
      <sz val="11"/>
      <name val="Calibri"/>
      <family val="2"/>
      <scheme val="minor"/>
    </font>
  </fonts>
  <fills count="35">
    <fill>
      <patternFill patternType="none"/>
    </fill>
    <fill>
      <patternFill patternType="gray125"/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  <fill>
      <patternFill patternType="solid">
        <fgColor rgb="FFFFFF00"/>
        <bgColor indexed="64"/>
      </patternFill>
    </fill>
    <fill>
      <patternFill patternType="solid">
        <fgColor rgb="FF00B0F0"/>
        <bgColor indexed="64"/>
      </patternFill>
    </fill>
  </fills>
  <borders count="18">
    <border>
      <left/>
      <right/>
      <top/>
      <bottom/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/>
      <right/>
      <top style="medium">
        <color indexed="64"/>
      </top>
      <bottom/>
      <diagonal/>
    </border>
    <border>
      <left/>
      <right/>
      <top/>
      <bottom style="medium">
        <color indexed="64"/>
      </bottom>
      <diagonal/>
    </border>
  </borders>
  <cellStyleXfs count="43">
    <xf numFmtId="0" fontId="0" fillId="0" borderId="0"/>
    <xf numFmtId="0" fontId="2" fillId="0" borderId="0" applyNumberFormat="0" applyFill="0" applyBorder="0" applyAlignment="0" applyProtection="0"/>
    <xf numFmtId="0" fontId="3" fillId="0" borderId="1" applyNumberFormat="0" applyFill="0" applyAlignment="0" applyProtection="0"/>
    <xf numFmtId="0" fontId="4" fillId="0" borderId="2" applyNumberFormat="0" applyFill="0" applyAlignment="0" applyProtection="0"/>
    <xf numFmtId="0" fontId="5" fillId="0" borderId="3" applyNumberFormat="0" applyFill="0" applyAlignment="0" applyProtection="0"/>
    <xf numFmtId="0" fontId="5" fillId="0" borderId="0" applyNumberFormat="0" applyFill="0" applyBorder="0" applyAlignment="0" applyProtection="0"/>
    <xf numFmtId="0" fontId="6" fillId="2" borderId="0" applyNumberFormat="0" applyBorder="0" applyAlignment="0" applyProtection="0"/>
    <xf numFmtId="0" fontId="7" fillId="3" borderId="0" applyNumberFormat="0" applyBorder="0" applyAlignment="0" applyProtection="0"/>
    <xf numFmtId="0" fontId="8" fillId="4" borderId="0" applyNumberFormat="0" applyBorder="0" applyAlignment="0" applyProtection="0"/>
    <xf numFmtId="0" fontId="9" fillId="5" borderId="4" applyNumberFormat="0" applyAlignment="0" applyProtection="0"/>
    <xf numFmtId="0" fontId="10" fillId="6" borderId="5" applyNumberFormat="0" applyAlignment="0" applyProtection="0"/>
    <xf numFmtId="0" fontId="11" fillId="6" borderId="4" applyNumberFormat="0" applyAlignment="0" applyProtection="0"/>
    <xf numFmtId="0" fontId="12" fillId="0" borderId="6" applyNumberFormat="0" applyFill="0" applyAlignment="0" applyProtection="0"/>
    <xf numFmtId="0" fontId="13" fillId="7" borderId="7" applyNumberFormat="0" applyAlignment="0" applyProtection="0"/>
    <xf numFmtId="0" fontId="14" fillId="0" borderId="0" applyNumberFormat="0" applyFill="0" applyBorder="0" applyAlignment="0" applyProtection="0"/>
    <xf numFmtId="0" fontId="1" fillId="8" borderId="8" applyNumberFormat="0" applyFont="0" applyAlignment="0" applyProtection="0"/>
    <xf numFmtId="0" fontId="15" fillId="0" borderId="0" applyNumberFormat="0" applyFill="0" applyBorder="0" applyAlignment="0" applyProtection="0"/>
    <xf numFmtId="0" fontId="16" fillId="0" borderId="9" applyNumberFormat="0" applyFill="0" applyAlignment="0" applyProtection="0"/>
    <xf numFmtId="0" fontId="17" fillId="9" borderId="0" applyNumberFormat="0" applyBorder="0" applyAlignment="0" applyProtection="0"/>
    <xf numFmtId="0" fontId="1" fillId="10" borderId="0" applyNumberFormat="0" applyBorder="0" applyAlignment="0" applyProtection="0"/>
    <xf numFmtId="0" fontId="1" fillId="11" borderId="0" applyNumberFormat="0" applyBorder="0" applyAlignment="0" applyProtection="0"/>
    <xf numFmtId="0" fontId="17" fillId="12" borderId="0" applyNumberFormat="0" applyBorder="0" applyAlignment="0" applyProtection="0"/>
    <xf numFmtId="0" fontId="17" fillId="13" borderId="0" applyNumberFormat="0" applyBorder="0" applyAlignment="0" applyProtection="0"/>
    <xf numFmtId="0" fontId="1" fillId="14" borderId="0" applyNumberFormat="0" applyBorder="0" applyAlignment="0" applyProtection="0"/>
    <xf numFmtId="0" fontId="1" fillId="15" borderId="0" applyNumberFormat="0" applyBorder="0" applyAlignment="0" applyProtection="0"/>
    <xf numFmtId="0" fontId="17" fillId="16" borderId="0" applyNumberFormat="0" applyBorder="0" applyAlignment="0" applyProtection="0"/>
    <xf numFmtId="0" fontId="17" fillId="17" borderId="0" applyNumberFormat="0" applyBorder="0" applyAlignment="0" applyProtection="0"/>
    <xf numFmtId="0" fontId="1" fillId="18" borderId="0" applyNumberFormat="0" applyBorder="0" applyAlignment="0" applyProtection="0"/>
    <xf numFmtId="0" fontId="1" fillId="19" borderId="0" applyNumberFormat="0" applyBorder="0" applyAlignment="0" applyProtection="0"/>
    <xf numFmtId="0" fontId="17" fillId="20" borderId="0" applyNumberFormat="0" applyBorder="0" applyAlignment="0" applyProtection="0"/>
    <xf numFmtId="0" fontId="17" fillId="21" borderId="0" applyNumberFormat="0" applyBorder="0" applyAlignment="0" applyProtection="0"/>
    <xf numFmtId="0" fontId="1" fillId="22" borderId="0" applyNumberFormat="0" applyBorder="0" applyAlignment="0" applyProtection="0"/>
    <xf numFmtId="0" fontId="1" fillId="23" borderId="0" applyNumberFormat="0" applyBorder="0" applyAlignment="0" applyProtection="0"/>
    <xf numFmtId="0" fontId="17" fillId="24" borderId="0" applyNumberFormat="0" applyBorder="0" applyAlignment="0" applyProtection="0"/>
    <xf numFmtId="0" fontId="17" fillId="25" borderId="0" applyNumberFormat="0" applyBorder="0" applyAlignment="0" applyProtection="0"/>
    <xf numFmtId="0" fontId="1" fillId="26" borderId="0" applyNumberFormat="0" applyBorder="0" applyAlignment="0" applyProtection="0"/>
    <xf numFmtId="0" fontId="1" fillId="27" borderId="0" applyNumberFormat="0" applyBorder="0" applyAlignment="0" applyProtection="0"/>
    <xf numFmtId="0" fontId="17" fillId="28" borderId="0" applyNumberFormat="0" applyBorder="0" applyAlignment="0" applyProtection="0"/>
    <xf numFmtId="0" fontId="17" fillId="29" borderId="0" applyNumberFormat="0" applyBorder="0" applyAlignment="0" applyProtection="0"/>
    <xf numFmtId="0" fontId="1" fillId="30" borderId="0" applyNumberFormat="0" applyBorder="0" applyAlignment="0" applyProtection="0"/>
    <xf numFmtId="0" fontId="1" fillId="31" borderId="0" applyNumberFormat="0" applyBorder="0" applyAlignment="0" applyProtection="0"/>
    <xf numFmtId="0" fontId="17" fillId="32" borderId="0" applyNumberFormat="0" applyBorder="0" applyAlignment="0" applyProtection="0"/>
    <xf numFmtId="0" fontId="19" fillId="0" borderId="0" applyNumberFormat="0" applyFill="0" applyBorder="0" applyAlignment="0" applyProtection="0"/>
  </cellStyleXfs>
  <cellXfs count="54">
    <xf numFmtId="0" fontId="0" fillId="0" borderId="0" xfId="0"/>
    <xf numFmtId="0" fontId="0" fillId="0" borderId="0" xfId="0" applyNumberFormat="1"/>
    <xf numFmtId="0" fontId="16" fillId="0" borderId="0" xfId="0" applyFont="1"/>
    <xf numFmtId="0" fontId="0" fillId="0" borderId="0" xfId="0" applyBorder="1"/>
    <xf numFmtId="0" fontId="16" fillId="0" borderId="0" xfId="0" applyFont="1" applyBorder="1"/>
    <xf numFmtId="0" fontId="18" fillId="33" borderId="0" xfId="0" applyFont="1" applyFill="1" applyBorder="1" applyAlignment="1">
      <alignment horizontal="right" vertical="center"/>
    </xf>
    <xf numFmtId="0" fontId="0" fillId="0" borderId="0" xfId="0" applyFill="1" applyBorder="1"/>
    <xf numFmtId="0" fontId="16" fillId="0" borderId="0" xfId="0" applyFont="1" applyFill="1" applyBorder="1"/>
    <xf numFmtId="0" fontId="18" fillId="0" borderId="0" xfId="0" applyFont="1" applyFill="1" applyBorder="1" applyAlignment="1">
      <alignment horizontal="right" vertical="center"/>
    </xf>
    <xf numFmtId="0" fontId="16" fillId="0" borderId="10" xfId="0" applyFont="1" applyBorder="1"/>
    <xf numFmtId="0" fontId="16" fillId="0" borderId="11" xfId="0" applyFont="1" applyBorder="1"/>
    <xf numFmtId="0" fontId="0" fillId="0" borderId="12" xfId="0" applyBorder="1"/>
    <xf numFmtId="0" fontId="0" fillId="0" borderId="14" xfId="0" applyBorder="1"/>
    <xf numFmtId="0" fontId="0" fillId="0" borderId="10" xfId="0" applyBorder="1"/>
    <xf numFmtId="0" fontId="0" fillId="0" borderId="16" xfId="0" applyBorder="1"/>
    <xf numFmtId="0" fontId="0" fillId="0" borderId="11" xfId="0" applyBorder="1"/>
    <xf numFmtId="0" fontId="16" fillId="0" borderId="12" xfId="0" applyFont="1" applyBorder="1"/>
    <xf numFmtId="0" fontId="16" fillId="0" borderId="13" xfId="0" applyFont="1" applyBorder="1"/>
    <xf numFmtId="0" fontId="0" fillId="0" borderId="17" xfId="0" applyBorder="1"/>
    <xf numFmtId="0" fontId="0" fillId="0" borderId="10" xfId="0" applyFill="1" applyBorder="1"/>
    <xf numFmtId="0" fontId="0" fillId="0" borderId="16" xfId="0" applyFill="1" applyBorder="1"/>
    <xf numFmtId="0" fontId="0" fillId="0" borderId="11" xfId="0" applyFill="1" applyBorder="1"/>
    <xf numFmtId="0" fontId="16" fillId="0" borderId="12" xfId="0" applyFont="1" applyFill="1" applyBorder="1"/>
    <xf numFmtId="0" fontId="0" fillId="0" borderId="13" xfId="0" applyFill="1" applyBorder="1"/>
    <xf numFmtId="0" fontId="0" fillId="0" borderId="12" xfId="0" applyFill="1" applyBorder="1"/>
    <xf numFmtId="0" fontId="18" fillId="0" borderId="13" xfId="0" applyFont="1" applyFill="1" applyBorder="1" applyAlignment="1">
      <alignment horizontal="right" vertical="center"/>
    </xf>
    <xf numFmtId="0" fontId="18" fillId="33" borderId="13" xfId="0" applyFont="1" applyFill="1" applyBorder="1" applyAlignment="1">
      <alignment horizontal="right" vertical="center"/>
    </xf>
    <xf numFmtId="0" fontId="0" fillId="0" borderId="14" xfId="0" applyFill="1" applyBorder="1"/>
    <xf numFmtId="0" fontId="18" fillId="0" borderId="17" xfId="0" applyFont="1" applyFill="1" applyBorder="1" applyAlignment="1">
      <alignment horizontal="right" vertical="center"/>
    </xf>
    <xf numFmtId="0" fontId="18" fillId="0" borderId="15" xfId="0" applyFont="1" applyFill="1" applyBorder="1" applyAlignment="1">
      <alignment horizontal="right" vertical="center"/>
    </xf>
    <xf numFmtId="0" fontId="0" fillId="0" borderId="0" xfId="0" applyFill="1"/>
    <xf numFmtId="0" fontId="20" fillId="0" borderId="0" xfId="0" applyFont="1" applyFill="1" applyAlignment="1">
      <alignment horizontal="right" vertical="center"/>
    </xf>
    <xf numFmtId="0" fontId="20" fillId="0" borderId="0" xfId="0" applyFont="1" applyFill="1" applyBorder="1" applyAlignment="1">
      <alignment horizontal="right" vertical="center"/>
    </xf>
    <xf numFmtId="0" fontId="21" fillId="0" borderId="0" xfId="42" applyFont="1" applyFill="1" applyBorder="1" applyAlignment="1">
      <alignment horizontal="right" vertical="center"/>
    </xf>
    <xf numFmtId="0" fontId="21" fillId="33" borderId="0" xfId="42" applyFont="1" applyFill="1" applyBorder="1" applyAlignment="1">
      <alignment horizontal="right" vertical="center"/>
    </xf>
    <xf numFmtId="0" fontId="0" fillId="33" borderId="13" xfId="0" applyFill="1" applyBorder="1"/>
    <xf numFmtId="0" fontId="0" fillId="0" borderId="17" xfId="0" applyFill="1" applyBorder="1"/>
    <xf numFmtId="0" fontId="20" fillId="0" borderId="17" xfId="0" applyFont="1" applyFill="1" applyBorder="1" applyAlignment="1">
      <alignment horizontal="right" vertical="center"/>
    </xf>
    <xf numFmtId="0" fontId="0" fillId="0" borderId="15" xfId="0" applyFill="1" applyBorder="1"/>
    <xf numFmtId="0" fontId="0" fillId="0" borderId="0" xfId="0" applyNumberFormat="1" applyFill="1"/>
    <xf numFmtId="0" fontId="0" fillId="34" borderId="0" xfId="0" applyFill="1"/>
    <xf numFmtId="165" fontId="0" fillId="0" borderId="0" xfId="0" applyNumberFormat="1" applyBorder="1"/>
    <xf numFmtId="165" fontId="0" fillId="0" borderId="13" xfId="0" applyNumberFormat="1" applyBorder="1"/>
    <xf numFmtId="165" fontId="0" fillId="0" borderId="17" xfId="0" applyNumberFormat="1" applyBorder="1"/>
    <xf numFmtId="165" fontId="0" fillId="0" borderId="15" xfId="0" applyNumberFormat="1" applyBorder="1"/>
    <xf numFmtId="165" fontId="0" fillId="0" borderId="0" xfId="0" applyNumberFormat="1"/>
    <xf numFmtId="164" fontId="0" fillId="0" borderId="13" xfId="0" applyNumberFormat="1" applyBorder="1"/>
    <xf numFmtId="164" fontId="0" fillId="0" borderId="15" xfId="0" applyNumberFormat="1" applyBorder="1"/>
    <xf numFmtId="165" fontId="18" fillId="0" borderId="0" xfId="0" applyNumberFormat="1" applyFont="1" applyFill="1" applyBorder="1" applyAlignment="1">
      <alignment horizontal="right" vertical="center"/>
    </xf>
    <xf numFmtId="165" fontId="18" fillId="0" borderId="17" xfId="0" applyNumberFormat="1" applyFont="1" applyFill="1" applyBorder="1" applyAlignment="1">
      <alignment horizontal="right" vertical="center"/>
    </xf>
    <xf numFmtId="165" fontId="0" fillId="0" borderId="0" xfId="0" applyNumberFormat="1" applyFill="1" applyBorder="1"/>
    <xf numFmtId="165" fontId="0" fillId="0" borderId="0" xfId="0" applyNumberFormat="1" applyFill="1"/>
    <xf numFmtId="165" fontId="0" fillId="0" borderId="17" xfId="0" applyNumberFormat="1" applyFill="1" applyBorder="1"/>
    <xf numFmtId="0" fontId="0" fillId="0" borderId="0" xfId="0" applyAlignment="1">
      <alignment horizontal="center"/>
    </xf>
  </cellXfs>
  <cellStyles count="43">
    <cellStyle name="20% - Accent1" xfId="19" builtinId="30" customBuiltin="1"/>
    <cellStyle name="20% - Accent2" xfId="23" builtinId="34" customBuiltin="1"/>
    <cellStyle name="20% - Accent3" xfId="27" builtinId="38" customBuiltin="1"/>
    <cellStyle name="20% - Accent4" xfId="31" builtinId="42" customBuiltin="1"/>
    <cellStyle name="20% - Accent5" xfId="35" builtinId="46" customBuiltin="1"/>
    <cellStyle name="20% - Accent6" xfId="39" builtinId="50" customBuiltin="1"/>
    <cellStyle name="40% - Accent1" xfId="20" builtinId="31" customBuiltin="1"/>
    <cellStyle name="40% - Accent2" xfId="24" builtinId="35" customBuiltin="1"/>
    <cellStyle name="40% - Accent3" xfId="28" builtinId="39" customBuiltin="1"/>
    <cellStyle name="40% - Accent4" xfId="32" builtinId="43" customBuiltin="1"/>
    <cellStyle name="40% - Accent5" xfId="36" builtinId="47" customBuiltin="1"/>
    <cellStyle name="40% - Accent6" xfId="40" builtinId="51" customBuiltin="1"/>
    <cellStyle name="60% - Accent1" xfId="21" builtinId="32" customBuiltin="1"/>
    <cellStyle name="60% - Accent2" xfId="25" builtinId="36" customBuiltin="1"/>
    <cellStyle name="60% - Accent3" xfId="29" builtinId="40" customBuiltin="1"/>
    <cellStyle name="60% - Accent4" xfId="33" builtinId="44" customBuiltin="1"/>
    <cellStyle name="60% - Accent5" xfId="37" builtinId="48" customBuiltin="1"/>
    <cellStyle name="60% - Accent6" xfId="41" builtinId="52" customBuiltin="1"/>
    <cellStyle name="Accent1" xfId="18" builtinId="29" customBuiltin="1"/>
    <cellStyle name="Accent2" xfId="22" builtinId="33" customBuiltin="1"/>
    <cellStyle name="Accent3" xfId="26" builtinId="37" customBuiltin="1"/>
    <cellStyle name="Accent4" xfId="30" builtinId="41" customBuiltin="1"/>
    <cellStyle name="Accent5" xfId="34" builtinId="45" customBuiltin="1"/>
    <cellStyle name="Accent6" xfId="38" builtinId="49" customBuiltin="1"/>
    <cellStyle name="Bad" xfId="7" builtinId="27" customBuiltin="1"/>
    <cellStyle name="Calculation" xfId="11" builtinId="22" customBuiltin="1"/>
    <cellStyle name="Check Cell" xfId="13" builtinId="23" customBuiltin="1"/>
    <cellStyle name="Explanatory Text" xfId="16" builtinId="53" customBuiltin="1"/>
    <cellStyle name="Good" xfId="6" builtinId="26" customBuiltin="1"/>
    <cellStyle name="Heading 1" xfId="2" builtinId="16" customBuiltin="1"/>
    <cellStyle name="Heading 2" xfId="3" builtinId="17" customBuiltin="1"/>
    <cellStyle name="Heading 3" xfId="4" builtinId="18" customBuiltin="1"/>
    <cellStyle name="Heading 4" xfId="5" builtinId="19" customBuiltin="1"/>
    <cellStyle name="Hyperlink" xfId="42" builtinId="8"/>
    <cellStyle name="Input" xfId="9" builtinId="20" customBuiltin="1"/>
    <cellStyle name="Linked Cell" xfId="12" builtinId="24" customBuiltin="1"/>
    <cellStyle name="Neutral" xfId="8" builtinId="28" customBuiltin="1"/>
    <cellStyle name="Normal" xfId="0" builtinId="0"/>
    <cellStyle name="Note" xfId="15" builtinId="10" customBuiltin="1"/>
    <cellStyle name="Output" xfId="10" builtinId="21" customBuiltin="1"/>
    <cellStyle name="Title" xfId="1" builtinId="15" customBuiltin="1"/>
    <cellStyle name="Total" xfId="17" builtinId="25" customBuiltin="1"/>
    <cellStyle name="Warning Text" xfId="14" builtinId="11" customBuiltin="1"/>
  </cellStyles>
  <dxfs count="2"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worksheet" Target="worksheets/sheet5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BM362"/>
  <sheetViews>
    <sheetView workbookViewId="0">
      <pane ySplit="2" topLeftCell="A3" activePane="bottomLeft" state="frozen"/>
      <selection pane="bottomLeft" activeCell="O3" sqref="O3"/>
    </sheetView>
  </sheetViews>
  <sheetFormatPr defaultRowHeight="14.5" x14ac:dyDescent="0.35"/>
  <cols>
    <col min="1" max="1" width="4.7265625" bestFit="1" customWidth="1"/>
    <col min="2" max="2" width="5.1796875" bestFit="1" customWidth="1"/>
    <col min="3" max="3" width="4.81640625" bestFit="1" customWidth="1"/>
    <col min="4" max="4" width="6" bestFit="1" customWidth="1"/>
    <col min="5" max="5" width="4.7265625" bestFit="1" customWidth="1"/>
    <col min="6" max="6" width="8.6328125" bestFit="1" customWidth="1"/>
    <col min="7" max="7" width="5.1796875" bestFit="1" customWidth="1"/>
    <col min="8" max="8" width="9.453125" bestFit="1" customWidth="1"/>
    <col min="9" max="9" width="8.36328125" bestFit="1" customWidth="1"/>
  </cols>
  <sheetData>
    <row r="1" spans="1:15" x14ac:dyDescent="0.35">
      <c r="A1" s="13"/>
      <c r="B1" s="14"/>
      <c r="C1" s="14"/>
      <c r="D1" s="14"/>
      <c r="E1" s="14"/>
      <c r="F1" s="14" t="s">
        <v>40</v>
      </c>
      <c r="G1" s="14">
        <v>2</v>
      </c>
      <c r="H1" s="14"/>
      <c r="I1" s="14" t="s">
        <v>34</v>
      </c>
      <c r="J1" s="15">
        <f>AVERAGE((J3:J362))</f>
        <v>2.0513000906342112E-2</v>
      </c>
    </row>
    <row r="2" spans="1:15" x14ac:dyDescent="0.35">
      <c r="A2" s="16" t="s">
        <v>45</v>
      </c>
      <c r="B2" s="4" t="s">
        <v>35</v>
      </c>
      <c r="C2" s="4" t="s">
        <v>36</v>
      </c>
      <c r="D2" s="4" t="s">
        <v>37</v>
      </c>
      <c r="E2" s="4" t="s">
        <v>39</v>
      </c>
      <c r="F2" s="4" t="s">
        <v>38</v>
      </c>
      <c r="G2" s="4" t="s">
        <v>30</v>
      </c>
      <c r="H2" s="4" t="s">
        <v>31</v>
      </c>
      <c r="I2" s="4" t="s">
        <v>32</v>
      </c>
      <c r="J2" s="17" t="s">
        <v>33</v>
      </c>
      <c r="O2" t="s">
        <v>42</v>
      </c>
    </row>
    <row r="3" spans="1:15" x14ac:dyDescent="0.35">
      <c r="A3" s="11">
        <v>2016</v>
      </c>
      <c r="B3" s="3" t="s">
        <v>0</v>
      </c>
      <c r="C3" s="3">
        <v>69</v>
      </c>
      <c r="D3" s="3">
        <v>93</v>
      </c>
      <c r="E3" s="3">
        <v>752</v>
      </c>
      <c r="F3" s="3">
        <v>890</v>
      </c>
      <c r="G3" s="41">
        <f>E3/F3</f>
        <v>0.84494382022471914</v>
      </c>
      <c r="H3" s="41">
        <f>(G3^$G$1)/((G3^$G$1)+1)</f>
        <v>0.41654562007772522</v>
      </c>
      <c r="I3" s="41">
        <f t="shared" ref="I3:I32" si="0">C3/162</f>
        <v>0.42592592592592593</v>
      </c>
      <c r="J3" s="42">
        <f t="shared" ref="J3:J32" si="1">ABS(H3-I3)</f>
        <v>9.3803058482007096E-3</v>
      </c>
    </row>
    <row r="4" spans="1:15" x14ac:dyDescent="0.35">
      <c r="A4" s="11">
        <v>2016</v>
      </c>
      <c r="B4" s="3" t="s">
        <v>1</v>
      </c>
      <c r="C4" s="3">
        <v>68</v>
      </c>
      <c r="D4" s="3">
        <v>93</v>
      </c>
      <c r="E4" s="3">
        <v>649</v>
      </c>
      <c r="F4" s="3">
        <v>779</v>
      </c>
      <c r="G4" s="41">
        <f t="shared" ref="G4:G32" si="2">E4/F4</f>
        <v>0.83311938382541717</v>
      </c>
      <c r="H4" s="41">
        <f t="shared" ref="H4:H67" si="3">(G4^$G$1)/((G4^$G$1)+1)</f>
        <v>0.40971186002128318</v>
      </c>
      <c r="I4" s="41">
        <f t="shared" si="0"/>
        <v>0.41975308641975306</v>
      </c>
      <c r="J4" s="42">
        <f t="shared" si="1"/>
        <v>1.0041226398469882E-2</v>
      </c>
    </row>
    <row r="5" spans="1:15" x14ac:dyDescent="0.35">
      <c r="A5" s="11">
        <v>2016</v>
      </c>
      <c r="B5" s="3" t="s">
        <v>2</v>
      </c>
      <c r="C5" s="3">
        <v>89</v>
      </c>
      <c r="D5" s="3">
        <v>73</v>
      </c>
      <c r="E5" s="3">
        <v>744</v>
      </c>
      <c r="F5" s="3">
        <v>715</v>
      </c>
      <c r="G5" s="41">
        <f t="shared" si="2"/>
        <v>1.0405594405594405</v>
      </c>
      <c r="H5" s="41">
        <f t="shared" si="3"/>
        <v>0.5198687780638096</v>
      </c>
      <c r="I5" s="41">
        <f t="shared" si="0"/>
        <v>0.54938271604938271</v>
      </c>
      <c r="J5" s="42">
        <f t="shared" si="1"/>
        <v>2.9513937985573113E-2</v>
      </c>
    </row>
    <row r="6" spans="1:15" x14ac:dyDescent="0.35">
      <c r="A6" s="11">
        <v>2016</v>
      </c>
      <c r="B6" s="3" t="s">
        <v>3</v>
      </c>
      <c r="C6" s="3">
        <v>93</v>
      </c>
      <c r="D6" s="3">
        <v>69</v>
      </c>
      <c r="E6" s="3">
        <v>878</v>
      </c>
      <c r="F6" s="3">
        <v>694</v>
      </c>
      <c r="G6" s="41">
        <f t="shared" si="2"/>
        <v>1.2651296829971181</v>
      </c>
      <c r="H6" s="41">
        <f t="shared" si="3"/>
        <v>0.61546641969788907</v>
      </c>
      <c r="I6" s="41">
        <f t="shared" si="0"/>
        <v>0.57407407407407407</v>
      </c>
      <c r="J6" s="42">
        <f t="shared" si="1"/>
        <v>4.1392345623814997E-2</v>
      </c>
      <c r="O6">
        <f>J1</f>
        <v>2.0513000906342112E-2</v>
      </c>
    </row>
    <row r="7" spans="1:15" x14ac:dyDescent="0.35">
      <c r="A7" s="11">
        <v>2016</v>
      </c>
      <c r="B7" s="3" t="s">
        <v>4</v>
      </c>
      <c r="C7" s="3">
        <v>103</v>
      </c>
      <c r="D7" s="3">
        <v>58</v>
      </c>
      <c r="E7" s="3">
        <v>808</v>
      </c>
      <c r="F7" s="3">
        <v>556</v>
      </c>
      <c r="G7" s="41">
        <f t="shared" si="2"/>
        <v>1.4532374100719425</v>
      </c>
      <c r="H7" s="41">
        <f t="shared" si="3"/>
        <v>0.67865280665280669</v>
      </c>
      <c r="I7" s="41">
        <f t="shared" si="0"/>
        <v>0.63580246913580252</v>
      </c>
      <c r="J7" s="42">
        <f t="shared" si="1"/>
        <v>4.2850337517004178E-2</v>
      </c>
      <c r="N7">
        <v>1.1000000000000001</v>
      </c>
      <c r="O7">
        <f t="dataTable" ref="O7:O26" dt2D="0" dtr="0" r1="G1"/>
        <v>2.8122449603713538E-2</v>
      </c>
    </row>
    <row r="8" spans="1:15" x14ac:dyDescent="0.35">
      <c r="A8" s="11">
        <v>2016</v>
      </c>
      <c r="B8" s="3" t="s">
        <v>5</v>
      </c>
      <c r="C8" s="3">
        <v>78</v>
      </c>
      <c r="D8" s="3">
        <v>84</v>
      </c>
      <c r="E8" s="3">
        <v>686</v>
      </c>
      <c r="F8" s="3">
        <v>715</v>
      </c>
      <c r="G8" s="41">
        <f t="shared" si="2"/>
        <v>0.95944055944055939</v>
      </c>
      <c r="H8" s="41">
        <f t="shared" si="3"/>
        <v>0.47930936494534132</v>
      </c>
      <c r="I8" s="41">
        <f t="shared" si="0"/>
        <v>0.48148148148148145</v>
      </c>
      <c r="J8" s="42">
        <f t="shared" si="1"/>
        <v>2.172116536140134E-3</v>
      </c>
      <c r="N8">
        <v>1.2</v>
      </c>
      <c r="O8">
        <v>2.6179629093125097E-2</v>
      </c>
    </row>
    <row r="9" spans="1:15" x14ac:dyDescent="0.35">
      <c r="A9" s="11">
        <v>2016</v>
      </c>
      <c r="B9" s="3" t="s">
        <v>6</v>
      </c>
      <c r="C9" s="3">
        <v>68</v>
      </c>
      <c r="D9" s="3">
        <v>94</v>
      </c>
      <c r="E9" s="3">
        <v>716</v>
      </c>
      <c r="F9" s="3">
        <v>854</v>
      </c>
      <c r="G9" s="41">
        <f t="shared" si="2"/>
        <v>0.83840749414519911</v>
      </c>
      <c r="H9" s="41">
        <f t="shared" si="3"/>
        <v>0.41277581137094876</v>
      </c>
      <c r="I9" s="41">
        <f t="shared" si="0"/>
        <v>0.41975308641975306</v>
      </c>
      <c r="J9" s="42">
        <f t="shared" si="1"/>
        <v>6.9772750488042989E-3</v>
      </c>
      <c r="N9">
        <v>1.3</v>
      </c>
      <c r="O9">
        <v>2.4415626920918553E-2</v>
      </c>
    </row>
    <row r="10" spans="1:15" x14ac:dyDescent="0.35">
      <c r="A10" s="11">
        <v>2016</v>
      </c>
      <c r="B10" s="3" t="s">
        <v>7</v>
      </c>
      <c r="C10" s="3">
        <v>94</v>
      </c>
      <c r="D10" s="3">
        <v>67</v>
      </c>
      <c r="E10" s="3">
        <v>777</v>
      </c>
      <c r="F10" s="3">
        <v>676</v>
      </c>
      <c r="G10" s="41">
        <f t="shared" si="2"/>
        <v>1.1494082840236686</v>
      </c>
      <c r="H10" s="41">
        <f t="shared" si="3"/>
        <v>0.56917710390730691</v>
      </c>
      <c r="I10" s="41">
        <f t="shared" si="0"/>
        <v>0.58024691358024694</v>
      </c>
      <c r="J10" s="42">
        <f t="shared" si="1"/>
        <v>1.1069809672940023E-2</v>
      </c>
      <c r="N10">
        <v>1.4</v>
      </c>
      <c r="O10">
        <v>2.289266823326689E-2</v>
      </c>
    </row>
    <row r="11" spans="1:15" x14ac:dyDescent="0.35">
      <c r="A11" s="11">
        <v>2016</v>
      </c>
      <c r="B11" s="3" t="s">
        <v>8</v>
      </c>
      <c r="C11" s="3">
        <v>75</v>
      </c>
      <c r="D11" s="3">
        <v>87</v>
      </c>
      <c r="E11" s="3">
        <v>845</v>
      </c>
      <c r="F11" s="3">
        <v>860</v>
      </c>
      <c r="G11" s="41">
        <f t="shared" si="2"/>
        <v>0.98255813953488369</v>
      </c>
      <c r="H11" s="41">
        <f t="shared" si="3"/>
        <v>0.49120302691546991</v>
      </c>
      <c r="I11" s="41">
        <f t="shared" si="0"/>
        <v>0.46296296296296297</v>
      </c>
      <c r="J11" s="42">
        <f t="shared" si="1"/>
        <v>2.8240063952506944E-2</v>
      </c>
      <c r="N11">
        <v>1.5</v>
      </c>
      <c r="O11">
        <v>2.1602481269766643E-2</v>
      </c>
    </row>
    <row r="12" spans="1:15" x14ac:dyDescent="0.35">
      <c r="A12" s="11">
        <v>2016</v>
      </c>
      <c r="B12" s="3" t="s">
        <v>9</v>
      </c>
      <c r="C12" s="3">
        <v>86</v>
      </c>
      <c r="D12" s="3">
        <v>75</v>
      </c>
      <c r="E12" s="3">
        <v>750</v>
      </c>
      <c r="F12" s="3">
        <v>721</v>
      </c>
      <c r="G12" s="41">
        <f t="shared" si="2"/>
        <v>1.0402219140083218</v>
      </c>
      <c r="H12" s="41">
        <f t="shared" si="3"/>
        <v>0.51970682067851071</v>
      </c>
      <c r="I12" s="41">
        <f t="shared" si="0"/>
        <v>0.53086419753086422</v>
      </c>
      <c r="J12" s="42">
        <f t="shared" si="1"/>
        <v>1.1157376852353518E-2</v>
      </c>
      <c r="N12">
        <v>1.6</v>
      </c>
      <c r="O12">
        <v>2.0690093273363696E-2</v>
      </c>
    </row>
    <row r="13" spans="1:15" x14ac:dyDescent="0.35">
      <c r="A13" s="11">
        <v>2016</v>
      </c>
      <c r="B13" s="3" t="s">
        <v>10</v>
      </c>
      <c r="C13" s="3">
        <v>84</v>
      </c>
      <c r="D13" s="3">
        <v>78</v>
      </c>
      <c r="E13" s="3">
        <v>724</v>
      </c>
      <c r="F13" s="3">
        <v>701</v>
      </c>
      <c r="G13" s="41">
        <f t="shared" si="2"/>
        <v>1.0328102710413696</v>
      </c>
      <c r="H13" s="41">
        <f t="shared" si="3"/>
        <v>0.51613614723452772</v>
      </c>
      <c r="I13" s="41">
        <f t="shared" si="0"/>
        <v>0.51851851851851849</v>
      </c>
      <c r="J13" s="42">
        <f t="shared" si="1"/>
        <v>2.3823712839907696E-3</v>
      </c>
      <c r="N13">
        <v>1.7</v>
      </c>
      <c r="O13">
        <v>2.0142718611630767E-2</v>
      </c>
    </row>
    <row r="14" spans="1:15" x14ac:dyDescent="0.35">
      <c r="A14" s="11">
        <v>2016</v>
      </c>
      <c r="B14" s="3" t="s">
        <v>11</v>
      </c>
      <c r="C14" s="3">
        <v>81</v>
      </c>
      <c r="D14" s="3">
        <v>81</v>
      </c>
      <c r="E14" s="3">
        <v>675</v>
      </c>
      <c r="F14" s="3">
        <v>712</v>
      </c>
      <c r="G14" s="41">
        <f t="shared" si="2"/>
        <v>0.9480337078651685</v>
      </c>
      <c r="H14" s="41">
        <f t="shared" si="3"/>
        <v>0.47334269023831022</v>
      </c>
      <c r="I14" s="41">
        <f t="shared" si="0"/>
        <v>0.5</v>
      </c>
      <c r="J14" s="42">
        <f t="shared" si="1"/>
        <v>2.6657309761689785E-2</v>
      </c>
      <c r="N14">
        <v>1.8</v>
      </c>
      <c r="O14">
        <v>1.9929504543909397E-2</v>
      </c>
    </row>
    <row r="15" spans="1:15" x14ac:dyDescent="0.35">
      <c r="A15" s="11">
        <v>2016</v>
      </c>
      <c r="B15" s="3" t="s">
        <v>12</v>
      </c>
      <c r="C15" s="3">
        <v>74</v>
      </c>
      <c r="D15" s="3">
        <v>88</v>
      </c>
      <c r="E15" s="3">
        <v>717</v>
      </c>
      <c r="F15" s="3">
        <v>727</v>
      </c>
      <c r="G15" s="41">
        <f t="shared" si="2"/>
        <v>0.98624484181568084</v>
      </c>
      <c r="H15" s="41">
        <f t="shared" si="3"/>
        <v>0.49307512435043321</v>
      </c>
      <c r="I15" s="41">
        <f t="shared" si="0"/>
        <v>0.4567901234567901</v>
      </c>
      <c r="J15" s="42">
        <f t="shared" si="1"/>
        <v>3.6285000893643116E-2</v>
      </c>
      <c r="N15">
        <v>1.9</v>
      </c>
      <c r="O15">
        <v>2.0109403188487373E-2</v>
      </c>
    </row>
    <row r="16" spans="1:15" x14ac:dyDescent="0.35">
      <c r="A16" s="11">
        <v>2016</v>
      </c>
      <c r="B16" s="3" t="s">
        <v>13</v>
      </c>
      <c r="C16" s="3">
        <v>91</v>
      </c>
      <c r="D16" s="3">
        <v>71</v>
      </c>
      <c r="E16" s="3">
        <v>725</v>
      </c>
      <c r="F16" s="3">
        <v>638</v>
      </c>
      <c r="G16" s="41">
        <f t="shared" si="2"/>
        <v>1.1363636363636365</v>
      </c>
      <c r="H16" s="41">
        <f t="shared" si="3"/>
        <v>0.563570784490532</v>
      </c>
      <c r="I16" s="41">
        <f t="shared" si="0"/>
        <v>0.56172839506172845</v>
      </c>
      <c r="J16" s="42">
        <f t="shared" si="1"/>
        <v>1.8423894288035481E-3</v>
      </c>
      <c r="N16">
        <v>2</v>
      </c>
      <c r="O16">
        <v>2.0513000906342112E-2</v>
      </c>
    </row>
    <row r="17" spans="1:15" x14ac:dyDescent="0.35">
      <c r="A17" s="11">
        <v>2016</v>
      </c>
      <c r="B17" s="3" t="s">
        <v>14</v>
      </c>
      <c r="C17" s="3">
        <v>79</v>
      </c>
      <c r="D17" s="3">
        <v>82</v>
      </c>
      <c r="E17" s="3">
        <v>655</v>
      </c>
      <c r="F17" s="3">
        <v>682</v>
      </c>
      <c r="G17" s="41">
        <f t="shared" si="2"/>
        <v>0.96041055718475077</v>
      </c>
      <c r="H17" s="41">
        <f t="shared" si="3"/>
        <v>0.47981376705672096</v>
      </c>
      <c r="I17" s="41">
        <f t="shared" si="0"/>
        <v>0.48765432098765432</v>
      </c>
      <c r="J17" s="42">
        <f t="shared" si="1"/>
        <v>7.8405539309333583E-3</v>
      </c>
      <c r="N17">
        <v>2.1</v>
      </c>
      <c r="O17">
        <v>2.1144323182082495E-2</v>
      </c>
    </row>
    <row r="18" spans="1:15" x14ac:dyDescent="0.35">
      <c r="A18" s="11">
        <v>2016</v>
      </c>
      <c r="B18" s="3" t="s">
        <v>15</v>
      </c>
      <c r="C18" s="3">
        <v>73</v>
      </c>
      <c r="D18" s="3">
        <v>89</v>
      </c>
      <c r="E18" s="3">
        <v>671</v>
      </c>
      <c r="F18" s="3">
        <v>733</v>
      </c>
      <c r="G18" s="41">
        <f t="shared" si="2"/>
        <v>0.91541609822646652</v>
      </c>
      <c r="H18" s="41">
        <f t="shared" si="3"/>
        <v>0.45592640223588138</v>
      </c>
      <c r="I18" s="41">
        <f t="shared" si="0"/>
        <v>0.45061728395061729</v>
      </c>
      <c r="J18" s="42">
        <f t="shared" si="1"/>
        <v>5.3091182852640917E-3</v>
      </c>
      <c r="N18">
        <v>2.2000000000000002</v>
      </c>
      <c r="O18">
        <v>2.2087925727299618E-2</v>
      </c>
    </row>
    <row r="19" spans="1:15" x14ac:dyDescent="0.35">
      <c r="A19" s="11">
        <v>2016</v>
      </c>
      <c r="B19" s="3" t="s">
        <v>16</v>
      </c>
      <c r="C19" s="3">
        <v>59</v>
      </c>
      <c r="D19" s="3">
        <v>103</v>
      </c>
      <c r="E19" s="3">
        <v>722</v>
      </c>
      <c r="F19" s="3">
        <v>889</v>
      </c>
      <c r="G19" s="41">
        <f t="shared" si="2"/>
        <v>0.81214848143981999</v>
      </c>
      <c r="H19" s="41">
        <f t="shared" si="3"/>
        <v>0.39743977798193814</v>
      </c>
      <c r="I19" s="41">
        <f t="shared" si="0"/>
        <v>0.36419753086419754</v>
      </c>
      <c r="J19" s="42">
        <f t="shared" si="1"/>
        <v>3.3242247117740598E-2</v>
      </c>
      <c r="N19">
        <v>2.2999999999999998</v>
      </c>
      <c r="O19">
        <v>2.328749413026043E-2</v>
      </c>
    </row>
    <row r="20" spans="1:15" x14ac:dyDescent="0.35">
      <c r="A20" s="11">
        <v>2016</v>
      </c>
      <c r="B20" s="3" t="s">
        <v>17</v>
      </c>
      <c r="C20" s="3">
        <v>87</v>
      </c>
      <c r="D20" s="3">
        <v>75</v>
      </c>
      <c r="E20" s="3">
        <v>671</v>
      </c>
      <c r="F20" s="3">
        <v>617</v>
      </c>
      <c r="G20" s="41">
        <f t="shared" si="2"/>
        <v>1.087520259319287</v>
      </c>
      <c r="H20" s="41">
        <f t="shared" si="3"/>
        <v>0.54185190088214419</v>
      </c>
      <c r="I20" s="41">
        <f t="shared" si="0"/>
        <v>0.53703703703703709</v>
      </c>
      <c r="J20" s="42">
        <f t="shared" si="1"/>
        <v>4.814863845107098E-3</v>
      </c>
      <c r="N20">
        <v>2.4</v>
      </c>
      <c r="O20">
        <v>2.4734359727114442E-2</v>
      </c>
    </row>
    <row r="21" spans="1:15" ht="15" thickBot="1" x14ac:dyDescent="0.4">
      <c r="A21" s="12">
        <v>2016</v>
      </c>
      <c r="B21" s="18" t="s">
        <v>18</v>
      </c>
      <c r="C21" s="18">
        <v>84</v>
      </c>
      <c r="D21" s="18">
        <v>78</v>
      </c>
      <c r="E21" s="18">
        <v>680</v>
      </c>
      <c r="F21" s="18">
        <v>702</v>
      </c>
      <c r="G21" s="43">
        <f t="shared" si="2"/>
        <v>0.96866096866096862</v>
      </c>
      <c r="H21" s="41">
        <f t="shared" si="3"/>
        <v>0.48408507502062387</v>
      </c>
      <c r="I21" s="43">
        <f t="shared" si="0"/>
        <v>0.51851851851851849</v>
      </c>
      <c r="J21" s="44">
        <f t="shared" si="1"/>
        <v>3.4433443497894622E-2</v>
      </c>
      <c r="N21">
        <v>2.5</v>
      </c>
      <c r="O21">
        <v>2.6402582801774432E-2</v>
      </c>
    </row>
    <row r="22" spans="1:15" x14ac:dyDescent="0.35">
      <c r="A22">
        <v>2016</v>
      </c>
      <c r="B22" t="s">
        <v>19</v>
      </c>
      <c r="C22">
        <v>69</v>
      </c>
      <c r="D22">
        <v>93</v>
      </c>
      <c r="E22">
        <v>653</v>
      </c>
      <c r="F22">
        <v>761</v>
      </c>
      <c r="G22" s="45">
        <f t="shared" si="2"/>
        <v>0.85808147174770044</v>
      </c>
      <c r="H22" s="41">
        <f t="shared" si="3"/>
        <v>0.42406392648652952</v>
      </c>
      <c r="I22" s="45">
        <f t="shared" si="0"/>
        <v>0.42592592592592593</v>
      </c>
      <c r="J22" s="45">
        <f t="shared" si="1"/>
        <v>1.8619994393964112E-3</v>
      </c>
      <c r="N22">
        <v>2.6</v>
      </c>
      <c r="O22">
        <v>2.8238108007267435E-2</v>
      </c>
    </row>
    <row r="23" spans="1:15" x14ac:dyDescent="0.35">
      <c r="A23">
        <v>2016</v>
      </c>
      <c r="B23" t="s">
        <v>20</v>
      </c>
      <c r="C23">
        <v>71</v>
      </c>
      <c r="D23">
        <v>91</v>
      </c>
      <c r="E23">
        <v>610</v>
      </c>
      <c r="F23">
        <v>796</v>
      </c>
      <c r="G23" s="45">
        <f t="shared" si="2"/>
        <v>0.76633165829145733</v>
      </c>
      <c r="H23" s="41">
        <f t="shared" si="3"/>
        <v>0.36998516479801458</v>
      </c>
      <c r="I23" s="45">
        <f t="shared" si="0"/>
        <v>0.43827160493827161</v>
      </c>
      <c r="J23" s="45">
        <f t="shared" si="1"/>
        <v>6.8286440140257032E-2</v>
      </c>
      <c r="N23">
        <v>2.7</v>
      </c>
      <c r="O23">
        <v>3.0193550600016321E-2</v>
      </c>
    </row>
    <row r="24" spans="1:15" x14ac:dyDescent="0.35">
      <c r="A24">
        <v>2016</v>
      </c>
      <c r="B24" t="s">
        <v>21</v>
      </c>
      <c r="C24">
        <v>78</v>
      </c>
      <c r="D24">
        <v>83</v>
      </c>
      <c r="E24">
        <v>729</v>
      </c>
      <c r="F24">
        <v>758</v>
      </c>
      <c r="G24" s="45">
        <f t="shared" si="2"/>
        <v>0.96174142480211078</v>
      </c>
      <c r="H24" s="41">
        <f t="shared" si="3"/>
        <v>0.48050506100786161</v>
      </c>
      <c r="I24" s="45">
        <f t="shared" si="0"/>
        <v>0.48148148148148145</v>
      </c>
      <c r="J24" s="45">
        <f t="shared" si="1"/>
        <v>9.7642047361984341E-4</v>
      </c>
      <c r="N24">
        <v>2.8</v>
      </c>
      <c r="O24">
        <v>3.2285140143412501E-2</v>
      </c>
    </row>
    <row r="25" spans="1:15" x14ac:dyDescent="0.35">
      <c r="A25">
        <v>2016</v>
      </c>
      <c r="B25" t="s">
        <v>22</v>
      </c>
      <c r="C25">
        <v>68</v>
      </c>
      <c r="D25">
        <v>94</v>
      </c>
      <c r="E25">
        <v>686</v>
      </c>
      <c r="F25">
        <v>770</v>
      </c>
      <c r="G25" s="45">
        <f t="shared" si="2"/>
        <v>0.89090909090909087</v>
      </c>
      <c r="H25" s="41">
        <f t="shared" si="3"/>
        <v>0.44249907851087356</v>
      </c>
      <c r="I25" s="45">
        <f t="shared" si="0"/>
        <v>0.41975308641975306</v>
      </c>
      <c r="J25" s="45">
        <f t="shared" si="1"/>
        <v>2.2745992091120493E-2</v>
      </c>
      <c r="N25">
        <v>2.9</v>
      </c>
      <c r="O25">
        <v>3.4470431123732839E-2</v>
      </c>
    </row>
    <row r="26" spans="1:15" x14ac:dyDescent="0.35">
      <c r="A26">
        <v>2016</v>
      </c>
      <c r="B26" t="s">
        <v>23</v>
      </c>
      <c r="C26">
        <v>86</v>
      </c>
      <c r="D26">
        <v>76</v>
      </c>
      <c r="E26">
        <v>768</v>
      </c>
      <c r="F26">
        <v>707</v>
      </c>
      <c r="G26" s="45">
        <f t="shared" si="2"/>
        <v>1.0862800565770863</v>
      </c>
      <c r="H26" s="41">
        <f t="shared" si="3"/>
        <v>0.54128532137622942</v>
      </c>
      <c r="I26" s="45">
        <f t="shared" si="0"/>
        <v>0.53086419753086422</v>
      </c>
      <c r="J26" s="45">
        <f t="shared" si="1"/>
        <v>1.0421123845365199E-2</v>
      </c>
      <c r="N26">
        <v>3</v>
      </c>
      <c r="O26">
        <v>3.6706056112442029E-2</v>
      </c>
    </row>
    <row r="27" spans="1:15" x14ac:dyDescent="0.35">
      <c r="A27">
        <v>2016</v>
      </c>
      <c r="B27" t="s">
        <v>24</v>
      </c>
      <c r="C27">
        <v>87</v>
      </c>
      <c r="D27">
        <v>75</v>
      </c>
      <c r="E27">
        <v>715</v>
      </c>
      <c r="F27">
        <v>631</v>
      </c>
      <c r="G27" s="45">
        <f t="shared" si="2"/>
        <v>1.133122028526149</v>
      </c>
      <c r="H27" s="41">
        <f t="shared" si="3"/>
        <v>0.56216502123410739</v>
      </c>
      <c r="I27" s="45">
        <f t="shared" si="0"/>
        <v>0.53703703703703709</v>
      </c>
      <c r="J27" s="45">
        <f t="shared" si="1"/>
        <v>2.5127984197070297E-2</v>
      </c>
    </row>
    <row r="28" spans="1:15" x14ac:dyDescent="0.35">
      <c r="A28">
        <v>2016</v>
      </c>
      <c r="B28" t="s">
        <v>25</v>
      </c>
      <c r="C28">
        <v>86</v>
      </c>
      <c r="D28">
        <v>76</v>
      </c>
      <c r="E28">
        <v>779</v>
      </c>
      <c r="F28">
        <v>712</v>
      </c>
      <c r="G28" s="45">
        <f t="shared" si="2"/>
        <v>1.0941011235955056</v>
      </c>
      <c r="H28" s="41">
        <f t="shared" si="3"/>
        <v>0.54484572875375414</v>
      </c>
      <c r="I28" s="45">
        <f t="shared" si="0"/>
        <v>0.53086419753086422</v>
      </c>
      <c r="J28" s="45">
        <f t="shared" si="1"/>
        <v>1.398153122288992E-2</v>
      </c>
    </row>
    <row r="29" spans="1:15" x14ac:dyDescent="0.35">
      <c r="A29">
        <v>2016</v>
      </c>
      <c r="B29" t="s">
        <v>26</v>
      </c>
      <c r="C29">
        <v>68</v>
      </c>
      <c r="D29">
        <v>94</v>
      </c>
      <c r="E29">
        <v>672</v>
      </c>
      <c r="F29">
        <v>713</v>
      </c>
      <c r="G29" s="45">
        <f t="shared" si="2"/>
        <v>0.94249649368863953</v>
      </c>
      <c r="H29" s="41">
        <f t="shared" si="3"/>
        <v>0.47042303112756556</v>
      </c>
      <c r="I29" s="45">
        <f t="shared" si="0"/>
        <v>0.41975308641975306</v>
      </c>
      <c r="J29" s="45">
        <f t="shared" si="1"/>
        <v>5.0669944707812498E-2</v>
      </c>
    </row>
    <row r="30" spans="1:15" x14ac:dyDescent="0.35">
      <c r="A30">
        <v>2016</v>
      </c>
      <c r="B30" t="s">
        <v>27</v>
      </c>
      <c r="C30">
        <v>95</v>
      </c>
      <c r="D30">
        <v>67</v>
      </c>
      <c r="E30">
        <v>765</v>
      </c>
      <c r="F30">
        <v>757</v>
      </c>
      <c r="G30" s="45">
        <f t="shared" si="2"/>
        <v>1.010568031704095</v>
      </c>
      <c r="H30" s="41">
        <f t="shared" si="3"/>
        <v>0.50525609657127757</v>
      </c>
      <c r="I30" s="45">
        <f t="shared" si="0"/>
        <v>0.5864197530864198</v>
      </c>
      <c r="J30" s="45">
        <f t="shared" si="1"/>
        <v>8.1163656515142235E-2</v>
      </c>
    </row>
    <row r="31" spans="1:15" x14ac:dyDescent="0.35">
      <c r="A31">
        <v>2016</v>
      </c>
      <c r="B31" t="s">
        <v>28</v>
      </c>
      <c r="C31">
        <v>89</v>
      </c>
      <c r="D31">
        <v>73</v>
      </c>
      <c r="E31">
        <v>759</v>
      </c>
      <c r="F31">
        <v>666</v>
      </c>
      <c r="G31" s="45">
        <f t="shared" si="2"/>
        <v>1.1396396396396395</v>
      </c>
      <c r="H31" s="41">
        <f t="shared" si="3"/>
        <v>0.56498636279381775</v>
      </c>
      <c r="I31" s="45">
        <f t="shared" si="0"/>
        <v>0.54938271604938271</v>
      </c>
      <c r="J31" s="45">
        <f t="shared" si="1"/>
        <v>1.560364674443504E-2</v>
      </c>
    </row>
    <row r="32" spans="1:15" x14ac:dyDescent="0.35">
      <c r="A32">
        <v>2016</v>
      </c>
      <c r="B32" t="s">
        <v>29</v>
      </c>
      <c r="C32">
        <v>95</v>
      </c>
      <c r="D32">
        <v>67</v>
      </c>
      <c r="E32">
        <v>763</v>
      </c>
      <c r="F32">
        <v>612</v>
      </c>
      <c r="G32" s="45">
        <f t="shared" si="2"/>
        <v>1.2467320261437909</v>
      </c>
      <c r="H32" s="41">
        <f t="shared" si="3"/>
        <v>0.60850955302164811</v>
      </c>
      <c r="I32" s="45">
        <f t="shared" si="0"/>
        <v>0.5864197530864198</v>
      </c>
      <c r="J32" s="45">
        <f t="shared" si="1"/>
        <v>2.2089799935228305E-2</v>
      </c>
    </row>
    <row r="33" spans="1:65" x14ac:dyDescent="0.35">
      <c r="A33">
        <v>2015</v>
      </c>
      <c r="B33" t="s">
        <v>0</v>
      </c>
      <c r="C33">
        <v>79</v>
      </c>
      <c r="D33">
        <v>83</v>
      </c>
      <c r="E33">
        <v>720</v>
      </c>
      <c r="F33">
        <v>713</v>
      </c>
      <c r="G33" s="45">
        <f t="shared" ref="G33:G50" si="4">E33/F33</f>
        <v>1.0098176718092566</v>
      </c>
      <c r="H33" s="41">
        <f t="shared" si="3"/>
        <v>0.50488474038464348</v>
      </c>
      <c r="I33" s="45">
        <f t="shared" ref="I33:I50" si="5">C33/162</f>
        <v>0.48765432098765432</v>
      </c>
      <c r="J33" s="45">
        <f t="shared" ref="J33:J50" si="6">ABS(H33-I33)</f>
        <v>1.7230419396989161E-2</v>
      </c>
      <c r="AV33">
        <v>547</v>
      </c>
      <c r="AW33">
        <v>121</v>
      </c>
      <c r="AX33">
        <v>472</v>
      </c>
      <c r="AY33">
        <v>36</v>
      </c>
      <c r="AZ33">
        <v>1301</v>
      </c>
      <c r="BA33">
        <v>37</v>
      </c>
      <c r="BB33">
        <v>1</v>
      </c>
      <c r="BC33">
        <v>75</v>
      </c>
      <c r="BD33">
        <v>6087</v>
      </c>
      <c r="BE33">
        <v>108</v>
      </c>
      <c r="BF33">
        <v>3.47</v>
      </c>
      <c r="BG33">
        <v>1.2649999999999999</v>
      </c>
      <c r="BH33">
        <v>8.5</v>
      </c>
      <c r="BI33">
        <v>0.7</v>
      </c>
      <c r="BJ33">
        <v>2.9</v>
      </c>
      <c r="BK33">
        <v>8</v>
      </c>
      <c r="BL33">
        <v>2.76</v>
      </c>
      <c r="BM33">
        <v>1125</v>
      </c>
    </row>
    <row r="34" spans="1:65" x14ac:dyDescent="0.35">
      <c r="A34">
        <v>2015</v>
      </c>
      <c r="B34" t="s">
        <v>1</v>
      </c>
      <c r="C34">
        <v>67</v>
      </c>
      <c r="D34">
        <v>95</v>
      </c>
      <c r="E34">
        <v>573</v>
      </c>
      <c r="F34">
        <v>760</v>
      </c>
      <c r="G34" s="45">
        <f t="shared" si="4"/>
        <v>0.75394736842105259</v>
      </c>
      <c r="H34" s="41">
        <f t="shared" si="3"/>
        <v>0.36242244149375941</v>
      </c>
      <c r="I34" s="45">
        <f t="shared" si="5"/>
        <v>0.41358024691358025</v>
      </c>
      <c r="J34" s="45">
        <f t="shared" si="6"/>
        <v>5.1157805419820845E-2</v>
      </c>
      <c r="AV34">
        <v>557</v>
      </c>
      <c r="AW34">
        <v>151</v>
      </c>
      <c r="AX34">
        <v>472</v>
      </c>
      <c r="AY34">
        <v>25</v>
      </c>
      <c r="AZ34">
        <v>1174</v>
      </c>
      <c r="BA34">
        <v>59</v>
      </c>
      <c r="BB34">
        <v>2</v>
      </c>
      <c r="BC34">
        <v>42</v>
      </c>
      <c r="BD34">
        <v>6104</v>
      </c>
      <c r="BE34">
        <v>112</v>
      </c>
      <c r="BF34">
        <v>3.96</v>
      </c>
      <c r="BG34">
        <v>1.2410000000000001</v>
      </c>
      <c r="BH34">
        <v>8.3000000000000007</v>
      </c>
      <c r="BI34">
        <v>0.9</v>
      </c>
      <c r="BJ34">
        <v>2.9</v>
      </c>
      <c r="BK34">
        <v>7.2</v>
      </c>
      <c r="BL34">
        <v>2.4900000000000002</v>
      </c>
      <c r="BM34">
        <v>1127</v>
      </c>
    </row>
    <row r="35" spans="1:65" x14ac:dyDescent="0.35">
      <c r="A35">
        <v>2015</v>
      </c>
      <c r="B35" t="s">
        <v>2</v>
      </c>
      <c r="C35">
        <v>81</v>
      </c>
      <c r="D35">
        <v>81</v>
      </c>
      <c r="E35">
        <v>713</v>
      </c>
      <c r="F35">
        <v>693</v>
      </c>
      <c r="G35" s="45">
        <f t="shared" si="4"/>
        <v>1.0288600288600289</v>
      </c>
      <c r="H35" s="41">
        <f t="shared" si="3"/>
        <v>0.51422187336261338</v>
      </c>
      <c r="I35" s="45">
        <f t="shared" si="5"/>
        <v>0.5</v>
      </c>
      <c r="J35" s="45">
        <f t="shared" si="6"/>
        <v>1.422187336261338E-2</v>
      </c>
      <c r="AV35">
        <v>653</v>
      </c>
      <c r="AW35">
        <v>154</v>
      </c>
      <c r="AX35">
        <v>482</v>
      </c>
      <c r="AY35">
        <v>19</v>
      </c>
      <c r="AZ35">
        <v>1213</v>
      </c>
      <c r="BA35">
        <v>47</v>
      </c>
      <c r="BB35">
        <v>5</v>
      </c>
      <c r="BC35">
        <v>51</v>
      </c>
      <c r="BD35">
        <v>6231</v>
      </c>
      <c r="BE35">
        <v>97</v>
      </c>
      <c r="BF35">
        <v>3.93</v>
      </c>
      <c r="BG35">
        <v>1.3240000000000001</v>
      </c>
      <c r="BH35">
        <v>9</v>
      </c>
      <c r="BI35">
        <v>0.9</v>
      </c>
      <c r="BJ35">
        <v>3</v>
      </c>
      <c r="BK35">
        <v>7.4</v>
      </c>
      <c r="BL35">
        <v>2.52</v>
      </c>
      <c r="BM35">
        <v>1119</v>
      </c>
    </row>
    <row r="36" spans="1:65" x14ac:dyDescent="0.35">
      <c r="A36">
        <v>2015</v>
      </c>
      <c r="B36" t="s">
        <v>3</v>
      </c>
      <c r="C36">
        <v>78</v>
      </c>
      <c r="D36">
        <v>84</v>
      </c>
      <c r="E36">
        <v>748</v>
      </c>
      <c r="F36">
        <v>753</v>
      </c>
      <c r="G36" s="45">
        <f t="shared" si="4"/>
        <v>0.99335989375830014</v>
      </c>
      <c r="H36" s="41">
        <f t="shared" si="3"/>
        <v>0.49666892437104593</v>
      </c>
      <c r="I36" s="45">
        <f t="shared" si="5"/>
        <v>0.48148148148148145</v>
      </c>
      <c r="J36" s="45">
        <f t="shared" si="6"/>
        <v>1.5187442889564473E-2</v>
      </c>
      <c r="AV36">
        <v>636</v>
      </c>
      <c r="AW36">
        <v>115</v>
      </c>
      <c r="AX36">
        <v>504</v>
      </c>
      <c r="AY36">
        <v>37</v>
      </c>
      <c r="AZ36">
        <v>1311</v>
      </c>
      <c r="BA36">
        <v>55</v>
      </c>
      <c r="BB36">
        <v>3</v>
      </c>
      <c r="BC36">
        <v>64</v>
      </c>
      <c r="BD36">
        <v>6208</v>
      </c>
      <c r="BE36">
        <v>98</v>
      </c>
      <c r="BF36">
        <v>3.51</v>
      </c>
      <c r="BG36">
        <v>1.3</v>
      </c>
      <c r="BH36">
        <v>8.6</v>
      </c>
      <c r="BI36">
        <v>0.7</v>
      </c>
      <c r="BJ36">
        <v>3.1</v>
      </c>
      <c r="BK36">
        <v>8.1</v>
      </c>
      <c r="BL36">
        <v>2.6</v>
      </c>
      <c r="BM36">
        <v>1111</v>
      </c>
    </row>
    <row r="37" spans="1:65" x14ac:dyDescent="0.35">
      <c r="A37">
        <v>2015</v>
      </c>
      <c r="B37" t="s">
        <v>4</v>
      </c>
      <c r="C37">
        <v>97</v>
      </c>
      <c r="D37">
        <v>65</v>
      </c>
      <c r="E37">
        <v>689</v>
      </c>
      <c r="F37">
        <v>608</v>
      </c>
      <c r="G37" s="45">
        <f t="shared" si="4"/>
        <v>1.1332236842105263</v>
      </c>
      <c r="H37" s="41">
        <f t="shared" si="3"/>
        <v>0.56220918183056301</v>
      </c>
      <c r="I37" s="45">
        <f t="shared" si="5"/>
        <v>0.59876543209876543</v>
      </c>
      <c r="J37" s="45">
        <f t="shared" si="6"/>
        <v>3.6556250268202417E-2</v>
      </c>
      <c r="AV37">
        <v>687</v>
      </c>
      <c r="AW37">
        <v>140</v>
      </c>
      <c r="AX37">
        <v>557</v>
      </c>
      <c r="AY37">
        <v>42</v>
      </c>
      <c r="AZ37">
        <v>1152</v>
      </c>
      <c r="BA37">
        <v>69</v>
      </c>
      <c r="BB37">
        <v>3</v>
      </c>
      <c r="BC37">
        <v>75</v>
      </c>
      <c r="BD37">
        <v>6255</v>
      </c>
      <c r="BE37">
        <v>90</v>
      </c>
      <c r="BF37">
        <v>4.09</v>
      </c>
      <c r="BG37">
        <v>1.405</v>
      </c>
      <c r="BH37">
        <v>9.1999999999999993</v>
      </c>
      <c r="BI37">
        <v>0.9</v>
      </c>
      <c r="BJ37">
        <v>3.5</v>
      </c>
      <c r="BK37">
        <v>7.2</v>
      </c>
      <c r="BL37">
        <v>2.0699999999999998</v>
      </c>
      <c r="BM37">
        <v>1174</v>
      </c>
    </row>
    <row r="38" spans="1:65" x14ac:dyDescent="0.35">
      <c r="A38">
        <v>2015</v>
      </c>
      <c r="B38" t="s">
        <v>5</v>
      </c>
      <c r="C38">
        <v>76</v>
      </c>
      <c r="D38">
        <v>86</v>
      </c>
      <c r="E38">
        <v>622</v>
      </c>
      <c r="F38">
        <v>701</v>
      </c>
      <c r="G38" s="45">
        <f t="shared" si="4"/>
        <v>0.88730385164051351</v>
      </c>
      <c r="H38" s="41">
        <f t="shared" si="3"/>
        <v>0.44049938231895114</v>
      </c>
      <c r="I38" s="45">
        <f t="shared" si="5"/>
        <v>0.46913580246913578</v>
      </c>
      <c r="J38" s="45">
        <f t="shared" si="6"/>
        <v>2.8636420150184638E-2</v>
      </c>
      <c r="AV38">
        <v>576</v>
      </c>
      <c r="AW38">
        <v>163</v>
      </c>
      <c r="AX38">
        <v>507</v>
      </c>
      <c r="AY38">
        <v>33</v>
      </c>
      <c r="AZ38">
        <v>1290</v>
      </c>
      <c r="BA38">
        <v>69</v>
      </c>
      <c r="BB38">
        <v>5</v>
      </c>
      <c r="BC38">
        <v>45</v>
      </c>
      <c r="BD38">
        <v>6067</v>
      </c>
      <c r="BE38">
        <v>101</v>
      </c>
      <c r="BF38">
        <v>4.01</v>
      </c>
      <c r="BG38">
        <v>1.2370000000000001</v>
      </c>
      <c r="BH38">
        <v>8</v>
      </c>
      <c r="BI38">
        <v>1</v>
      </c>
      <c r="BJ38">
        <v>3.2</v>
      </c>
      <c r="BK38">
        <v>8</v>
      </c>
      <c r="BL38">
        <v>2.54</v>
      </c>
      <c r="BM38">
        <v>1117</v>
      </c>
    </row>
    <row r="39" spans="1:65" x14ac:dyDescent="0.35">
      <c r="A39">
        <v>2015</v>
      </c>
      <c r="B39" t="s">
        <v>6</v>
      </c>
      <c r="C39">
        <v>64</v>
      </c>
      <c r="D39">
        <v>98</v>
      </c>
      <c r="E39">
        <v>640</v>
      </c>
      <c r="F39">
        <v>754</v>
      </c>
      <c r="G39" s="45">
        <f t="shared" si="4"/>
        <v>0.8488063660477454</v>
      </c>
      <c r="H39" s="41">
        <f t="shared" si="3"/>
        <v>0.41876423655271972</v>
      </c>
      <c r="I39" s="45">
        <f t="shared" si="5"/>
        <v>0.39506172839506171</v>
      </c>
      <c r="J39" s="45">
        <f t="shared" si="6"/>
        <v>2.3702508157658009E-2</v>
      </c>
      <c r="AV39">
        <v>581</v>
      </c>
      <c r="AW39">
        <v>135</v>
      </c>
      <c r="AX39">
        <v>464</v>
      </c>
      <c r="AY39">
        <v>51</v>
      </c>
      <c r="AZ39">
        <v>1450</v>
      </c>
      <c r="BA39">
        <v>58</v>
      </c>
      <c r="BB39">
        <v>2</v>
      </c>
      <c r="BC39">
        <v>56</v>
      </c>
      <c r="BD39">
        <v>6193</v>
      </c>
      <c r="BE39">
        <v>104</v>
      </c>
      <c r="BF39">
        <v>3.42</v>
      </c>
      <c r="BG39">
        <v>1.268</v>
      </c>
      <c r="BH39">
        <v>8.6</v>
      </c>
      <c r="BI39">
        <v>0.8</v>
      </c>
      <c r="BJ39">
        <v>2.8</v>
      </c>
      <c r="BK39">
        <v>8.9</v>
      </c>
      <c r="BL39">
        <v>3.13</v>
      </c>
      <c r="BM39">
        <v>1135</v>
      </c>
    </row>
    <row r="40" spans="1:65" x14ac:dyDescent="0.35">
      <c r="A40">
        <v>2015</v>
      </c>
      <c r="B40" t="s">
        <v>7</v>
      </c>
      <c r="C40">
        <v>81</v>
      </c>
      <c r="D40">
        <v>80</v>
      </c>
      <c r="E40">
        <v>669</v>
      </c>
      <c r="F40">
        <v>640</v>
      </c>
      <c r="G40" s="45">
        <f t="shared" si="4"/>
        <v>1.0453125000000001</v>
      </c>
      <c r="H40" s="41">
        <f t="shared" si="3"/>
        <v>0.52214344796368484</v>
      </c>
      <c r="I40" s="45">
        <f t="shared" si="5"/>
        <v>0.5</v>
      </c>
      <c r="J40" s="45">
        <f t="shared" si="6"/>
        <v>2.2143447963684837E-2</v>
      </c>
      <c r="AV40">
        <v>770</v>
      </c>
      <c r="AW40">
        <v>173</v>
      </c>
      <c r="AX40">
        <v>531</v>
      </c>
      <c r="AY40">
        <v>32</v>
      </c>
      <c r="AZ40">
        <v>1074</v>
      </c>
      <c r="BA40">
        <v>54</v>
      </c>
      <c r="BB40">
        <v>8</v>
      </c>
      <c r="BC40">
        <v>72</v>
      </c>
      <c r="BD40">
        <v>6248</v>
      </c>
      <c r="BE40">
        <v>88</v>
      </c>
      <c r="BF40">
        <v>4.43</v>
      </c>
      <c r="BG40">
        <v>1.4390000000000001</v>
      </c>
      <c r="BH40">
        <v>9.6</v>
      </c>
      <c r="BI40">
        <v>1.1000000000000001</v>
      </c>
      <c r="BJ40">
        <v>3.3</v>
      </c>
      <c r="BK40">
        <v>6.8</v>
      </c>
      <c r="BL40">
        <v>2.02</v>
      </c>
      <c r="BM40">
        <v>1137</v>
      </c>
    </row>
    <row r="41" spans="1:65" x14ac:dyDescent="0.35">
      <c r="A41">
        <v>2015</v>
      </c>
      <c r="B41" t="s">
        <v>8</v>
      </c>
      <c r="C41">
        <v>68</v>
      </c>
      <c r="D41">
        <v>94</v>
      </c>
      <c r="E41">
        <v>737</v>
      </c>
      <c r="F41">
        <v>844</v>
      </c>
      <c r="G41" s="45">
        <f t="shared" si="4"/>
        <v>0.87322274881516593</v>
      </c>
      <c r="H41" s="41">
        <f t="shared" si="3"/>
        <v>0.43262989792951845</v>
      </c>
      <c r="I41" s="45">
        <f t="shared" si="5"/>
        <v>0.41975308641975306</v>
      </c>
      <c r="J41" s="45">
        <f t="shared" si="6"/>
        <v>1.2876811509765385E-2</v>
      </c>
      <c r="AV41">
        <v>648</v>
      </c>
      <c r="AW41">
        <v>127</v>
      </c>
      <c r="AX41">
        <v>462</v>
      </c>
      <c r="AY41">
        <v>34</v>
      </c>
      <c r="AZ41">
        <v>1244</v>
      </c>
      <c r="BA41">
        <v>42</v>
      </c>
      <c r="BB41">
        <v>9</v>
      </c>
      <c r="BC41">
        <v>43</v>
      </c>
      <c r="BD41">
        <v>6191</v>
      </c>
      <c r="BE41">
        <v>100</v>
      </c>
      <c r="BF41">
        <v>3.6</v>
      </c>
      <c r="BG41">
        <v>1.3320000000000001</v>
      </c>
      <c r="BH41">
        <v>9.1</v>
      </c>
      <c r="BI41">
        <v>0.8</v>
      </c>
      <c r="BJ41">
        <v>2.9</v>
      </c>
      <c r="BK41">
        <v>7.7</v>
      </c>
      <c r="BL41">
        <v>2.69</v>
      </c>
      <c r="BM41">
        <v>1124</v>
      </c>
    </row>
    <row r="42" spans="1:65" x14ac:dyDescent="0.35">
      <c r="A42">
        <v>2015</v>
      </c>
      <c r="B42" t="s">
        <v>9</v>
      </c>
      <c r="C42">
        <v>74</v>
      </c>
      <c r="D42">
        <v>87</v>
      </c>
      <c r="E42">
        <v>689</v>
      </c>
      <c r="F42">
        <v>803</v>
      </c>
      <c r="G42" s="45">
        <f t="shared" si="4"/>
        <v>0.85803237858032377</v>
      </c>
      <c r="H42" s="41">
        <f t="shared" si="3"/>
        <v>0.42403597938420584</v>
      </c>
      <c r="I42" s="45">
        <f t="shared" si="5"/>
        <v>0.4567901234567901</v>
      </c>
      <c r="J42" s="45">
        <f t="shared" si="6"/>
        <v>3.2754144072584257E-2</v>
      </c>
      <c r="AV42">
        <v>657</v>
      </c>
      <c r="AW42">
        <v>139</v>
      </c>
      <c r="AX42">
        <v>484</v>
      </c>
      <c r="AY42">
        <v>32</v>
      </c>
      <c r="AZ42">
        <v>1137</v>
      </c>
      <c r="BA42">
        <v>52</v>
      </c>
      <c r="BB42">
        <v>7</v>
      </c>
      <c r="BC42">
        <v>57</v>
      </c>
      <c r="BD42">
        <v>6154</v>
      </c>
      <c r="BE42">
        <v>95</v>
      </c>
      <c r="BF42">
        <v>3.93</v>
      </c>
      <c r="BG42">
        <v>1.335</v>
      </c>
      <c r="BH42">
        <v>9</v>
      </c>
      <c r="BI42">
        <v>0.9</v>
      </c>
      <c r="BJ42">
        <v>3</v>
      </c>
      <c r="BK42">
        <v>7.1</v>
      </c>
      <c r="BL42">
        <v>2.35</v>
      </c>
      <c r="BM42">
        <v>1115</v>
      </c>
    </row>
    <row r="43" spans="1:65" x14ac:dyDescent="0.35">
      <c r="A43">
        <v>2015</v>
      </c>
      <c r="B43" t="s">
        <v>10</v>
      </c>
      <c r="C43">
        <v>86</v>
      </c>
      <c r="D43">
        <v>76</v>
      </c>
      <c r="E43">
        <v>729</v>
      </c>
      <c r="F43">
        <v>618</v>
      </c>
      <c r="G43" s="45">
        <f t="shared" si="4"/>
        <v>1.1796116504854368</v>
      </c>
      <c r="H43" s="41">
        <f t="shared" si="3"/>
        <v>0.58184953441395271</v>
      </c>
      <c r="I43" s="45">
        <f t="shared" si="5"/>
        <v>0.53086419753086422</v>
      </c>
      <c r="J43" s="45">
        <f t="shared" si="6"/>
        <v>5.0985336883088483E-2</v>
      </c>
      <c r="AV43">
        <v>565</v>
      </c>
      <c r="AW43">
        <v>128</v>
      </c>
      <c r="AX43">
        <v>440</v>
      </c>
      <c r="AY43">
        <v>14</v>
      </c>
      <c r="AZ43">
        <v>1168</v>
      </c>
      <c r="BA43">
        <v>56</v>
      </c>
      <c r="BB43">
        <v>6</v>
      </c>
      <c r="BC43">
        <v>58</v>
      </c>
      <c r="BD43">
        <v>6101</v>
      </c>
      <c r="BE43">
        <v>114</v>
      </c>
      <c r="BF43">
        <v>3.69</v>
      </c>
      <c r="BG43">
        <v>1.2589999999999999</v>
      </c>
      <c r="BH43">
        <v>8.6</v>
      </c>
      <c r="BI43">
        <v>0.8</v>
      </c>
      <c r="BJ43">
        <v>2.7</v>
      </c>
      <c r="BK43">
        <v>7.2</v>
      </c>
      <c r="BL43">
        <v>2.65</v>
      </c>
      <c r="BM43">
        <v>1125</v>
      </c>
    </row>
    <row r="44" spans="1:65" x14ac:dyDescent="0.35">
      <c r="A44">
        <v>2015</v>
      </c>
      <c r="B44" t="s">
        <v>11</v>
      </c>
      <c r="C44">
        <v>95</v>
      </c>
      <c r="D44">
        <v>67</v>
      </c>
      <c r="E44">
        <v>724</v>
      </c>
      <c r="F44">
        <v>641</v>
      </c>
      <c r="G44" s="45">
        <f t="shared" si="4"/>
        <v>1.1294851794071763</v>
      </c>
      <c r="H44" s="41">
        <f t="shared" si="3"/>
        <v>0.56058186827113221</v>
      </c>
      <c r="I44" s="45">
        <f t="shared" si="5"/>
        <v>0.5864197530864198</v>
      </c>
      <c r="J44" s="45">
        <f t="shared" si="6"/>
        <v>2.5837884815287593E-2</v>
      </c>
      <c r="AV44">
        <v>590</v>
      </c>
      <c r="AW44">
        <v>126</v>
      </c>
      <c r="AX44">
        <v>504</v>
      </c>
      <c r="AY44">
        <v>41</v>
      </c>
      <c r="AZ44">
        <v>1342</v>
      </c>
      <c r="BA44">
        <v>63</v>
      </c>
      <c r="BB44">
        <v>4</v>
      </c>
      <c r="BC44">
        <v>74</v>
      </c>
      <c r="BD44">
        <v>6179</v>
      </c>
      <c r="BE44">
        <v>102</v>
      </c>
      <c r="BF44">
        <v>3.57</v>
      </c>
      <c r="BG44">
        <v>1.2210000000000001</v>
      </c>
      <c r="BH44">
        <v>7.9</v>
      </c>
      <c r="BI44">
        <v>0.8</v>
      </c>
      <c r="BJ44">
        <v>3.1</v>
      </c>
      <c r="BK44">
        <v>8.1</v>
      </c>
      <c r="BL44">
        <v>2.66</v>
      </c>
      <c r="BM44">
        <v>1101</v>
      </c>
    </row>
    <row r="45" spans="1:65" x14ac:dyDescent="0.35">
      <c r="A45">
        <v>2015</v>
      </c>
      <c r="B45" t="s">
        <v>12</v>
      </c>
      <c r="C45">
        <v>85</v>
      </c>
      <c r="D45">
        <v>77</v>
      </c>
      <c r="E45">
        <v>661</v>
      </c>
      <c r="F45">
        <v>675</v>
      </c>
      <c r="G45" s="45">
        <f t="shared" si="4"/>
        <v>0.97925925925925927</v>
      </c>
      <c r="H45" s="41">
        <f t="shared" si="3"/>
        <v>0.48952210866442741</v>
      </c>
      <c r="I45" s="45">
        <f t="shared" si="5"/>
        <v>0.52469135802469136</v>
      </c>
      <c r="J45" s="45">
        <f t="shared" si="6"/>
        <v>3.5169249360263943E-2</v>
      </c>
      <c r="AV45">
        <v>554</v>
      </c>
      <c r="AW45">
        <v>142</v>
      </c>
      <c r="AX45">
        <v>429</v>
      </c>
      <c r="AY45">
        <v>35</v>
      </c>
      <c r="AZ45">
        <v>1373</v>
      </c>
      <c r="BA45">
        <v>41</v>
      </c>
      <c r="BB45">
        <v>4</v>
      </c>
      <c r="BC45">
        <v>64</v>
      </c>
      <c r="BD45">
        <v>6075</v>
      </c>
      <c r="BE45">
        <v>103</v>
      </c>
      <c r="BF45">
        <v>3.48</v>
      </c>
      <c r="BG45">
        <v>1.206</v>
      </c>
      <c r="BH45">
        <v>8.1999999999999993</v>
      </c>
      <c r="BI45">
        <v>0.9</v>
      </c>
      <c r="BJ45">
        <v>2.6</v>
      </c>
      <c r="BK45">
        <v>8.4</v>
      </c>
      <c r="BL45">
        <v>3.2</v>
      </c>
      <c r="BM45">
        <v>1064</v>
      </c>
    </row>
    <row r="46" spans="1:65" x14ac:dyDescent="0.35">
      <c r="A46">
        <v>2015</v>
      </c>
      <c r="B46" t="s">
        <v>13</v>
      </c>
      <c r="C46">
        <v>92</v>
      </c>
      <c r="D46">
        <v>70</v>
      </c>
      <c r="E46">
        <v>667</v>
      </c>
      <c r="F46">
        <v>595</v>
      </c>
      <c r="G46" s="45">
        <f t="shared" si="4"/>
        <v>1.1210084033613446</v>
      </c>
      <c r="H46" s="41">
        <f t="shared" si="3"/>
        <v>0.55686719722022637</v>
      </c>
      <c r="I46" s="45">
        <f t="shared" si="5"/>
        <v>0.5679012345679012</v>
      </c>
      <c r="J46" s="45">
        <f t="shared" si="6"/>
        <v>1.103403734767483E-2</v>
      </c>
      <c r="AV46">
        <v>613</v>
      </c>
      <c r="AW46">
        <v>114</v>
      </c>
      <c r="AX46">
        <v>458</v>
      </c>
      <c r="AY46">
        <v>35</v>
      </c>
      <c r="AZ46">
        <v>1190</v>
      </c>
      <c r="BA46">
        <v>49</v>
      </c>
      <c r="BB46">
        <v>4</v>
      </c>
      <c r="BC46">
        <v>56</v>
      </c>
      <c r="BD46">
        <v>6217</v>
      </c>
      <c r="BE46">
        <v>101</v>
      </c>
      <c r="BF46">
        <v>3.56</v>
      </c>
      <c r="BG46">
        <v>1.33</v>
      </c>
      <c r="BH46">
        <v>9.1</v>
      </c>
      <c r="BI46">
        <v>0.7</v>
      </c>
      <c r="BJ46">
        <v>2.8</v>
      </c>
      <c r="BK46">
        <v>7.3</v>
      </c>
      <c r="BL46">
        <v>2.6</v>
      </c>
      <c r="BM46">
        <v>1170</v>
      </c>
    </row>
    <row r="47" spans="1:65" x14ac:dyDescent="0.35">
      <c r="A47">
        <v>2015</v>
      </c>
      <c r="B47" t="s">
        <v>14</v>
      </c>
      <c r="C47">
        <v>71</v>
      </c>
      <c r="D47">
        <v>91</v>
      </c>
      <c r="E47">
        <v>613</v>
      </c>
      <c r="F47">
        <v>678</v>
      </c>
      <c r="G47" s="45">
        <f t="shared" si="4"/>
        <v>0.90412979351032452</v>
      </c>
      <c r="H47" s="41">
        <f t="shared" si="3"/>
        <v>0.44977874278983976</v>
      </c>
      <c r="I47" s="45">
        <f t="shared" si="5"/>
        <v>0.43827160493827161</v>
      </c>
      <c r="J47" s="45">
        <f t="shared" si="6"/>
        <v>1.150713785156815E-2</v>
      </c>
      <c r="AV47">
        <v>594</v>
      </c>
      <c r="AW47">
        <v>167</v>
      </c>
      <c r="AX47">
        <v>431</v>
      </c>
      <c r="AY47">
        <v>20</v>
      </c>
      <c r="AZ47">
        <v>1246</v>
      </c>
      <c r="BA47">
        <v>42</v>
      </c>
      <c r="BB47">
        <v>2</v>
      </c>
      <c r="BC47">
        <v>44</v>
      </c>
      <c r="BD47">
        <v>6106</v>
      </c>
      <c r="BE47">
        <v>103</v>
      </c>
      <c r="BF47">
        <v>3.89</v>
      </c>
      <c r="BG47">
        <v>1.2470000000000001</v>
      </c>
      <c r="BH47">
        <v>8.6</v>
      </c>
      <c r="BI47">
        <v>1</v>
      </c>
      <c r="BJ47">
        <v>2.7</v>
      </c>
      <c r="BK47">
        <v>7.7</v>
      </c>
      <c r="BL47">
        <v>2.89</v>
      </c>
      <c r="BM47">
        <v>1076</v>
      </c>
    </row>
    <row r="48" spans="1:65" x14ac:dyDescent="0.35">
      <c r="A48">
        <v>2015</v>
      </c>
      <c r="B48" t="s">
        <v>15</v>
      </c>
      <c r="C48">
        <v>68</v>
      </c>
      <c r="D48">
        <v>94</v>
      </c>
      <c r="E48">
        <v>655</v>
      </c>
      <c r="F48">
        <v>737</v>
      </c>
      <c r="G48" s="45">
        <f t="shared" si="4"/>
        <v>0.88873812754409764</v>
      </c>
      <c r="H48" s="41">
        <f t="shared" si="3"/>
        <v>0.44129566732565717</v>
      </c>
      <c r="I48" s="45">
        <f t="shared" si="5"/>
        <v>0.41975308641975306</v>
      </c>
      <c r="J48" s="45">
        <f t="shared" si="6"/>
        <v>2.1542580905904107E-2</v>
      </c>
      <c r="AV48">
        <v>728</v>
      </c>
      <c r="AW48">
        <v>147</v>
      </c>
      <c r="AX48">
        <v>408</v>
      </c>
      <c r="AY48">
        <v>24</v>
      </c>
      <c r="AZ48">
        <v>1031</v>
      </c>
      <c r="BA48">
        <v>45</v>
      </c>
      <c r="BB48">
        <v>6</v>
      </c>
      <c r="BC48">
        <v>50</v>
      </c>
      <c r="BD48">
        <v>6212</v>
      </c>
      <c r="BE48">
        <v>86</v>
      </c>
      <c r="BF48">
        <v>3.97</v>
      </c>
      <c r="BG48">
        <v>1.391</v>
      </c>
      <c r="BH48">
        <v>10</v>
      </c>
      <c r="BI48">
        <v>0.9</v>
      </c>
      <c r="BJ48">
        <v>2.6</v>
      </c>
      <c r="BK48">
        <v>6.5</v>
      </c>
      <c r="BL48">
        <v>2.5299999999999998</v>
      </c>
      <c r="BM48">
        <v>1130</v>
      </c>
    </row>
    <row r="49" spans="1:65" x14ac:dyDescent="0.35">
      <c r="A49">
        <v>2015</v>
      </c>
      <c r="B49" t="s">
        <v>16</v>
      </c>
      <c r="C49">
        <v>83</v>
      </c>
      <c r="D49">
        <v>79</v>
      </c>
      <c r="E49">
        <v>696</v>
      </c>
      <c r="F49">
        <v>700</v>
      </c>
      <c r="G49" s="45">
        <f t="shared" si="4"/>
        <v>0.99428571428571433</v>
      </c>
      <c r="H49" s="41">
        <f t="shared" si="3"/>
        <v>0.4971346940115926</v>
      </c>
      <c r="I49" s="45">
        <f t="shared" si="5"/>
        <v>0.51234567901234573</v>
      </c>
      <c r="J49" s="45">
        <f t="shared" si="6"/>
        <v>1.521098500075313E-2</v>
      </c>
      <c r="AV49">
        <v>568</v>
      </c>
      <c r="AW49">
        <v>141</v>
      </c>
      <c r="AX49">
        <v>509</v>
      </c>
      <c r="AY49">
        <v>38</v>
      </c>
      <c r="AZ49">
        <v>1303</v>
      </c>
      <c r="BA49">
        <v>50</v>
      </c>
      <c r="BB49">
        <v>1</v>
      </c>
      <c r="BC49">
        <v>56</v>
      </c>
      <c r="BD49">
        <v>6170</v>
      </c>
      <c r="BE49">
        <v>100</v>
      </c>
      <c r="BF49">
        <v>3.75</v>
      </c>
      <c r="BG49">
        <v>1.284</v>
      </c>
      <c r="BH49">
        <v>8.4</v>
      </c>
      <c r="BI49">
        <v>0.9</v>
      </c>
      <c r="BJ49">
        <v>3.1</v>
      </c>
      <c r="BK49">
        <v>8</v>
      </c>
      <c r="BL49">
        <v>2.56</v>
      </c>
      <c r="BM49">
        <v>1161</v>
      </c>
    </row>
    <row r="50" spans="1:65" x14ac:dyDescent="0.35">
      <c r="A50">
        <v>2015</v>
      </c>
      <c r="B50" t="s">
        <v>17</v>
      </c>
      <c r="C50">
        <v>90</v>
      </c>
      <c r="D50">
        <v>72</v>
      </c>
      <c r="E50">
        <v>683</v>
      </c>
      <c r="F50">
        <v>613</v>
      </c>
      <c r="G50" s="45">
        <f t="shared" si="4"/>
        <v>1.1141924959216967</v>
      </c>
      <c r="H50" s="41">
        <f t="shared" si="3"/>
        <v>0.5538552320072947</v>
      </c>
      <c r="I50" s="45">
        <f t="shared" si="5"/>
        <v>0.55555555555555558</v>
      </c>
      <c r="J50" s="45">
        <f t="shared" si="6"/>
        <v>1.7003235482608847E-3</v>
      </c>
      <c r="AV50">
        <v>605</v>
      </c>
      <c r="AW50">
        <v>164</v>
      </c>
      <c r="AX50">
        <v>398</v>
      </c>
      <c r="AY50">
        <v>23</v>
      </c>
      <c r="AZ50">
        <v>1370</v>
      </c>
      <c r="BA50">
        <v>65</v>
      </c>
      <c r="BB50">
        <v>6</v>
      </c>
      <c r="BC50">
        <v>49</v>
      </c>
      <c r="BD50">
        <v>6114</v>
      </c>
      <c r="BE50">
        <v>104</v>
      </c>
      <c r="BF50">
        <v>3.67</v>
      </c>
      <c r="BG50">
        <v>1.232</v>
      </c>
      <c r="BH50">
        <v>8.6</v>
      </c>
      <c r="BI50">
        <v>1</v>
      </c>
      <c r="BJ50">
        <v>2.5</v>
      </c>
      <c r="BK50">
        <v>8.5</v>
      </c>
      <c r="BL50">
        <v>3.44</v>
      </c>
      <c r="BM50">
        <v>1091</v>
      </c>
    </row>
    <row r="51" spans="1:65" x14ac:dyDescent="0.35">
      <c r="A51">
        <v>2015</v>
      </c>
      <c r="B51" t="s">
        <v>18</v>
      </c>
      <c r="C51">
        <v>87</v>
      </c>
      <c r="D51">
        <v>75</v>
      </c>
      <c r="E51">
        <v>764</v>
      </c>
      <c r="F51">
        <v>698</v>
      </c>
      <c r="G51" s="45">
        <f t="shared" ref="G51:G62" si="7">E51/F51</f>
        <v>1.0945558739255015</v>
      </c>
      <c r="H51" s="41">
        <f t="shared" si="3"/>
        <v>0.54505182556727982</v>
      </c>
      <c r="I51" s="45">
        <f t="shared" ref="I51:I92" si="8">C51/162</f>
        <v>0.53703703703703709</v>
      </c>
      <c r="J51" s="45">
        <f t="shared" ref="J51:J92" si="9">ABS(H51-I51)</f>
        <v>8.0147885302427335E-3</v>
      </c>
      <c r="AV51">
        <v>524</v>
      </c>
      <c r="AW51">
        <v>147</v>
      </c>
      <c r="AX51">
        <v>406</v>
      </c>
      <c r="AY51">
        <v>28</v>
      </c>
      <c r="AZ51">
        <v>1244</v>
      </c>
      <c r="BA51">
        <v>48</v>
      </c>
      <c r="BB51">
        <v>1</v>
      </c>
      <c r="BC51">
        <v>59</v>
      </c>
      <c r="BD51">
        <v>5972</v>
      </c>
      <c r="BE51">
        <v>116</v>
      </c>
      <c r="BF51">
        <v>3.67</v>
      </c>
      <c r="BG51">
        <v>1.145</v>
      </c>
      <c r="BH51">
        <v>7.8</v>
      </c>
      <c r="BI51">
        <v>0.9</v>
      </c>
      <c r="BJ51">
        <v>2.5</v>
      </c>
      <c r="BK51">
        <v>7.7</v>
      </c>
      <c r="BL51">
        <v>3.06</v>
      </c>
      <c r="BM51">
        <v>1010</v>
      </c>
    </row>
    <row r="52" spans="1:65" x14ac:dyDescent="0.35">
      <c r="A52">
        <v>2015</v>
      </c>
      <c r="B52" t="s">
        <v>19</v>
      </c>
      <c r="C52">
        <v>68</v>
      </c>
      <c r="D52">
        <v>94</v>
      </c>
      <c r="E52">
        <v>694</v>
      </c>
      <c r="F52">
        <v>729</v>
      </c>
      <c r="G52" s="45">
        <f t="shared" si="7"/>
        <v>0.9519890260631001</v>
      </c>
      <c r="H52" s="41">
        <f t="shared" si="3"/>
        <v>0.4754189464374376</v>
      </c>
      <c r="I52" s="45">
        <f t="shared" si="8"/>
        <v>0.41975308641975306</v>
      </c>
      <c r="J52" s="45">
        <f t="shared" si="9"/>
        <v>5.5665860017684532E-2</v>
      </c>
      <c r="AV52">
        <v>619</v>
      </c>
      <c r="AW52">
        <v>134</v>
      </c>
      <c r="AX52">
        <v>521</v>
      </c>
      <c r="AY52">
        <v>43</v>
      </c>
      <c r="AZ52">
        <v>1255</v>
      </c>
      <c r="BA52">
        <v>69</v>
      </c>
      <c r="BB52">
        <v>1</v>
      </c>
      <c r="BC52">
        <v>49</v>
      </c>
      <c r="BD52">
        <v>6261</v>
      </c>
      <c r="BE52">
        <v>98</v>
      </c>
      <c r="BF52">
        <v>3.81</v>
      </c>
      <c r="BG52">
        <v>1.306</v>
      </c>
      <c r="BH52">
        <v>8.6</v>
      </c>
      <c r="BI52">
        <v>0.8</v>
      </c>
      <c r="BJ52">
        <v>3.2</v>
      </c>
      <c r="BK52">
        <v>7.7</v>
      </c>
      <c r="BL52">
        <v>2.41</v>
      </c>
      <c r="BM52">
        <v>1169</v>
      </c>
    </row>
    <row r="53" spans="1:65" x14ac:dyDescent="0.35">
      <c r="A53">
        <v>2015</v>
      </c>
      <c r="B53" t="s">
        <v>20</v>
      </c>
      <c r="C53">
        <v>63</v>
      </c>
      <c r="D53">
        <v>99</v>
      </c>
      <c r="E53">
        <v>626</v>
      </c>
      <c r="F53">
        <v>809</v>
      </c>
      <c r="G53" s="45">
        <f t="shared" si="7"/>
        <v>0.77379480840543879</v>
      </c>
      <c r="H53" s="41">
        <f t="shared" si="3"/>
        <v>0.37451462550544412</v>
      </c>
      <c r="I53" s="45">
        <f t="shared" si="8"/>
        <v>0.3888888888888889</v>
      </c>
      <c r="J53" s="45">
        <f t="shared" si="9"/>
        <v>1.4374263383444774E-2</v>
      </c>
      <c r="AV53">
        <v>562</v>
      </c>
      <c r="AW53">
        <v>128</v>
      </c>
      <c r="AX53">
        <v>499</v>
      </c>
      <c r="AY53">
        <v>43</v>
      </c>
      <c r="AZ53">
        <v>1228</v>
      </c>
      <c r="BA53">
        <v>88</v>
      </c>
      <c r="BB53">
        <v>3</v>
      </c>
      <c r="BC53">
        <v>71</v>
      </c>
      <c r="BD53">
        <v>6130</v>
      </c>
      <c r="BE53">
        <v>102</v>
      </c>
      <c r="BF53">
        <v>3.8</v>
      </c>
      <c r="BG53">
        <v>1.2629999999999999</v>
      </c>
      <c r="BH53">
        <v>8.3000000000000007</v>
      </c>
      <c r="BI53">
        <v>0.8</v>
      </c>
      <c r="BJ53">
        <v>3.1</v>
      </c>
      <c r="BK53">
        <v>7.6</v>
      </c>
      <c r="BL53">
        <v>2.46</v>
      </c>
      <c r="BM53">
        <v>1130</v>
      </c>
    </row>
    <row r="54" spans="1:65" x14ac:dyDescent="0.35">
      <c r="A54">
        <v>2015</v>
      </c>
      <c r="B54" t="s">
        <v>21</v>
      </c>
      <c r="C54">
        <v>98</v>
      </c>
      <c r="D54">
        <v>64</v>
      </c>
      <c r="E54">
        <v>697</v>
      </c>
      <c r="F54">
        <v>596</v>
      </c>
      <c r="G54" s="45">
        <f t="shared" si="7"/>
        <v>1.169463087248322</v>
      </c>
      <c r="H54" s="41">
        <f t="shared" si="3"/>
        <v>0.57763919027377297</v>
      </c>
      <c r="I54" s="45">
        <f t="shared" si="8"/>
        <v>0.60493827160493829</v>
      </c>
      <c r="J54" s="45">
        <f t="shared" si="9"/>
        <v>2.729908133116532E-2</v>
      </c>
      <c r="AV54">
        <v>523</v>
      </c>
      <c r="AW54">
        <v>117</v>
      </c>
      <c r="AX54">
        <v>462</v>
      </c>
      <c r="AY54">
        <v>32</v>
      </c>
      <c r="AZ54">
        <v>1284</v>
      </c>
      <c r="BA54">
        <v>46</v>
      </c>
      <c r="BB54">
        <v>4</v>
      </c>
      <c r="BC54">
        <v>57</v>
      </c>
      <c r="BD54">
        <v>6006</v>
      </c>
      <c r="BE54">
        <v>103</v>
      </c>
      <c r="BF54">
        <v>3.46</v>
      </c>
      <c r="BG54">
        <v>1.2250000000000001</v>
      </c>
      <c r="BH54">
        <v>8.1</v>
      </c>
      <c r="BI54">
        <v>0.7</v>
      </c>
      <c r="BJ54">
        <v>2.9</v>
      </c>
      <c r="BK54">
        <v>8</v>
      </c>
      <c r="BL54">
        <v>2.78</v>
      </c>
      <c r="BM54">
        <v>1113</v>
      </c>
    </row>
    <row r="55" spans="1:65" x14ac:dyDescent="0.35">
      <c r="A55">
        <v>2015</v>
      </c>
      <c r="B55" t="s">
        <v>22</v>
      </c>
      <c r="C55">
        <v>74</v>
      </c>
      <c r="D55">
        <v>88</v>
      </c>
      <c r="E55">
        <v>650</v>
      </c>
      <c r="F55">
        <v>731</v>
      </c>
      <c r="G55" s="45">
        <f t="shared" si="7"/>
        <v>0.8891928864569083</v>
      </c>
      <c r="H55" s="41">
        <f t="shared" si="3"/>
        <v>0.44154793642963813</v>
      </c>
      <c r="I55" s="45">
        <f t="shared" si="8"/>
        <v>0.4567901234567901</v>
      </c>
      <c r="J55" s="45">
        <f t="shared" si="9"/>
        <v>1.5242187027151965E-2</v>
      </c>
      <c r="AV55">
        <v>512</v>
      </c>
      <c r="AW55">
        <v>137</v>
      </c>
      <c r="AX55">
        <v>463</v>
      </c>
      <c r="AY55">
        <v>36</v>
      </c>
      <c r="AZ55">
        <v>1317</v>
      </c>
      <c r="BA55">
        <v>52</v>
      </c>
      <c r="BB55">
        <v>8</v>
      </c>
      <c r="BC55">
        <v>80</v>
      </c>
      <c r="BD55">
        <v>5974</v>
      </c>
      <c r="BE55">
        <v>115</v>
      </c>
      <c r="BF55">
        <v>3.61</v>
      </c>
      <c r="BG55">
        <v>1.173</v>
      </c>
      <c r="BH55">
        <v>7.7</v>
      </c>
      <c r="BI55">
        <v>0.8</v>
      </c>
      <c r="BJ55">
        <v>2.9</v>
      </c>
      <c r="BK55">
        <v>8.1999999999999993</v>
      </c>
      <c r="BL55">
        <v>2.84</v>
      </c>
      <c r="BM55">
        <v>1064</v>
      </c>
    </row>
    <row r="56" spans="1:65" x14ac:dyDescent="0.35">
      <c r="A56">
        <v>2015</v>
      </c>
      <c r="B56" t="s">
        <v>23</v>
      </c>
      <c r="C56">
        <v>76</v>
      </c>
      <c r="D56">
        <v>86</v>
      </c>
      <c r="E56">
        <v>656</v>
      </c>
      <c r="F56">
        <v>726</v>
      </c>
      <c r="G56" s="45">
        <f t="shared" si="7"/>
        <v>0.90358126721763088</v>
      </c>
      <c r="H56" s="41">
        <f t="shared" si="3"/>
        <v>0.44947838548085889</v>
      </c>
      <c r="I56" s="45">
        <f t="shared" si="8"/>
        <v>0.46913580246913578</v>
      </c>
      <c r="J56" s="45">
        <f t="shared" si="9"/>
        <v>1.9657416988276888E-2</v>
      </c>
      <c r="AV56">
        <v>564</v>
      </c>
      <c r="AW56">
        <v>133</v>
      </c>
      <c r="AX56">
        <v>389</v>
      </c>
      <c r="AY56">
        <v>35</v>
      </c>
      <c r="AZ56">
        <v>1211</v>
      </c>
      <c r="BA56">
        <v>57</v>
      </c>
      <c r="BB56">
        <v>6</v>
      </c>
      <c r="BC56">
        <v>49</v>
      </c>
      <c r="BD56">
        <v>5947</v>
      </c>
      <c r="BE56">
        <v>100</v>
      </c>
      <c r="BF56">
        <v>3.58</v>
      </c>
      <c r="BG56">
        <v>1.169</v>
      </c>
      <c r="BH56">
        <v>8.1</v>
      </c>
      <c r="BI56">
        <v>0.8</v>
      </c>
      <c r="BJ56">
        <v>2.4</v>
      </c>
      <c r="BK56">
        <v>7.5</v>
      </c>
      <c r="BL56">
        <v>3.11</v>
      </c>
      <c r="BM56">
        <v>986</v>
      </c>
    </row>
    <row r="57" spans="1:65" x14ac:dyDescent="0.35">
      <c r="A57">
        <v>2015</v>
      </c>
      <c r="B57" t="s">
        <v>24</v>
      </c>
      <c r="C57">
        <v>84</v>
      </c>
      <c r="D57">
        <v>78</v>
      </c>
      <c r="E57">
        <v>696</v>
      </c>
      <c r="F57">
        <v>627</v>
      </c>
      <c r="G57" s="45">
        <f t="shared" si="7"/>
        <v>1.1100478468899522</v>
      </c>
      <c r="H57" s="41">
        <f t="shared" si="3"/>
        <v>0.55201271729654899</v>
      </c>
      <c r="I57" s="45">
        <f t="shared" si="8"/>
        <v>0.51851851851851849</v>
      </c>
      <c r="J57" s="45">
        <f t="shared" si="9"/>
        <v>3.3494198778030504E-2</v>
      </c>
      <c r="AV57">
        <v>564</v>
      </c>
      <c r="AW57">
        <v>123</v>
      </c>
      <c r="AX57">
        <v>470</v>
      </c>
      <c r="AY57">
        <v>35</v>
      </c>
      <c r="AZ57">
        <v>1221</v>
      </c>
      <c r="BA57">
        <v>61</v>
      </c>
      <c r="BB57">
        <v>5</v>
      </c>
      <c r="BC57">
        <v>44</v>
      </c>
      <c r="BD57">
        <v>6069</v>
      </c>
      <c r="BE57">
        <v>105</v>
      </c>
      <c r="BF57">
        <v>3.65</v>
      </c>
      <c r="BG57">
        <v>1.236</v>
      </c>
      <c r="BH57">
        <v>8.1999999999999993</v>
      </c>
      <c r="BI57">
        <v>0.8</v>
      </c>
      <c r="BJ57">
        <v>2.9</v>
      </c>
      <c r="BK57">
        <v>7.6</v>
      </c>
      <c r="BL57">
        <v>2.6</v>
      </c>
      <c r="BM57">
        <v>1120</v>
      </c>
    </row>
    <row r="58" spans="1:65" x14ac:dyDescent="0.35">
      <c r="A58">
        <v>2015</v>
      </c>
      <c r="B58" t="s">
        <v>25</v>
      </c>
      <c r="C58">
        <v>100</v>
      </c>
      <c r="D58">
        <v>62</v>
      </c>
      <c r="E58">
        <v>647</v>
      </c>
      <c r="F58">
        <v>525</v>
      </c>
      <c r="G58" s="45">
        <f t="shared" si="7"/>
        <v>1.2323809523809524</v>
      </c>
      <c r="H58" s="41">
        <f t="shared" si="3"/>
        <v>0.60297968696433768</v>
      </c>
      <c r="I58" s="45">
        <f t="shared" si="8"/>
        <v>0.61728395061728392</v>
      </c>
      <c r="J58" s="45">
        <f t="shared" si="9"/>
        <v>1.4304263652946236E-2</v>
      </c>
      <c r="AV58">
        <v>579</v>
      </c>
      <c r="AW58">
        <v>145</v>
      </c>
      <c r="AX58">
        <v>482</v>
      </c>
      <c r="AY58">
        <v>27</v>
      </c>
      <c r="AZ58">
        <v>1437</v>
      </c>
      <c r="BA58">
        <v>58</v>
      </c>
      <c r="BB58">
        <v>3</v>
      </c>
      <c r="BC58">
        <v>65</v>
      </c>
      <c r="BD58">
        <v>6131</v>
      </c>
      <c r="BE58">
        <v>105</v>
      </c>
      <c r="BF58">
        <v>3.56</v>
      </c>
      <c r="BG58">
        <v>1.212</v>
      </c>
      <c r="BH58">
        <v>7.9</v>
      </c>
      <c r="BI58">
        <v>0.9</v>
      </c>
      <c r="BJ58">
        <v>3</v>
      </c>
      <c r="BK58">
        <v>8.8000000000000007</v>
      </c>
      <c r="BL58">
        <v>2.98</v>
      </c>
      <c r="BM58">
        <v>1115</v>
      </c>
    </row>
    <row r="59" spans="1:65" x14ac:dyDescent="0.35">
      <c r="A59">
        <v>2015</v>
      </c>
      <c r="B59" t="s">
        <v>26</v>
      </c>
      <c r="C59">
        <v>80</v>
      </c>
      <c r="D59">
        <v>82</v>
      </c>
      <c r="E59">
        <v>644</v>
      </c>
      <c r="F59">
        <v>642</v>
      </c>
      <c r="G59" s="45">
        <f t="shared" si="7"/>
        <v>1.0031152647975077</v>
      </c>
      <c r="H59" s="41">
        <f t="shared" si="3"/>
        <v>0.50155520619180061</v>
      </c>
      <c r="I59" s="45">
        <f t="shared" si="8"/>
        <v>0.49382716049382713</v>
      </c>
      <c r="J59" s="45">
        <f t="shared" si="9"/>
        <v>7.7280456979734735E-3</v>
      </c>
      <c r="AV59">
        <v>711</v>
      </c>
      <c r="AW59">
        <v>160</v>
      </c>
      <c r="AX59">
        <v>505</v>
      </c>
      <c r="AY59">
        <v>43</v>
      </c>
      <c r="AZ59">
        <v>1110</v>
      </c>
      <c r="BA59">
        <v>61</v>
      </c>
      <c r="BB59">
        <v>7</v>
      </c>
      <c r="BC59">
        <v>61</v>
      </c>
      <c r="BD59">
        <v>6195</v>
      </c>
      <c r="BE59">
        <v>87</v>
      </c>
      <c r="BF59">
        <v>4.22</v>
      </c>
      <c r="BG59">
        <v>1.413</v>
      </c>
      <c r="BH59">
        <v>9.5</v>
      </c>
      <c r="BI59">
        <v>1</v>
      </c>
      <c r="BJ59">
        <v>3.2</v>
      </c>
      <c r="BK59">
        <v>7</v>
      </c>
      <c r="BL59">
        <v>2.2000000000000002</v>
      </c>
      <c r="BM59">
        <v>1143</v>
      </c>
    </row>
    <row r="60" spans="1:65" x14ac:dyDescent="0.35">
      <c r="A60">
        <v>2015</v>
      </c>
      <c r="B60" t="s">
        <v>27</v>
      </c>
      <c r="C60">
        <v>88</v>
      </c>
      <c r="D60">
        <v>74</v>
      </c>
      <c r="E60">
        <v>751</v>
      </c>
      <c r="F60">
        <v>733</v>
      </c>
      <c r="G60" s="45">
        <f t="shared" si="7"/>
        <v>1.0245566166439291</v>
      </c>
      <c r="H60" s="41">
        <f t="shared" si="3"/>
        <v>0.51212759581944811</v>
      </c>
      <c r="I60" s="45">
        <f t="shared" si="8"/>
        <v>0.54320987654320985</v>
      </c>
      <c r="J60" s="45">
        <f t="shared" si="9"/>
        <v>3.1082280723761735E-2</v>
      </c>
      <c r="AV60">
        <v>642</v>
      </c>
      <c r="AW60">
        <v>151</v>
      </c>
      <c r="AX60">
        <v>490</v>
      </c>
      <c r="AY60">
        <v>23</v>
      </c>
      <c r="AZ60">
        <v>1199</v>
      </c>
      <c r="BA60">
        <v>57</v>
      </c>
      <c r="BB60">
        <v>5</v>
      </c>
      <c r="BC60">
        <v>43</v>
      </c>
      <c r="BD60">
        <v>6150</v>
      </c>
      <c r="BE60">
        <v>98</v>
      </c>
      <c r="BF60">
        <v>3.97</v>
      </c>
      <c r="BG60">
        <v>1.31</v>
      </c>
      <c r="BH60">
        <v>8.6999999999999993</v>
      </c>
      <c r="BI60">
        <v>0.9</v>
      </c>
      <c r="BJ60">
        <v>3.1</v>
      </c>
      <c r="BK60">
        <v>7.5</v>
      </c>
      <c r="BL60">
        <v>2.4500000000000002</v>
      </c>
      <c r="BM60">
        <v>1135</v>
      </c>
    </row>
    <row r="61" spans="1:65" x14ac:dyDescent="0.35">
      <c r="A61">
        <v>2015</v>
      </c>
      <c r="B61" t="s">
        <v>28</v>
      </c>
      <c r="C61">
        <v>93</v>
      </c>
      <c r="D61">
        <v>69</v>
      </c>
      <c r="E61">
        <v>891</v>
      </c>
      <c r="F61">
        <v>670</v>
      </c>
      <c r="G61" s="45">
        <f t="shared" si="7"/>
        <v>1.3298507462686566</v>
      </c>
      <c r="H61" s="41">
        <f t="shared" si="3"/>
        <v>0.6387939628945084</v>
      </c>
      <c r="I61" s="45">
        <f t="shared" si="8"/>
        <v>0.57407407407407407</v>
      </c>
      <c r="J61" s="45">
        <f t="shared" si="9"/>
        <v>6.4719888820434335E-2</v>
      </c>
      <c r="AV61">
        <v>495</v>
      </c>
      <c r="AW61">
        <v>110</v>
      </c>
      <c r="AX61">
        <v>352</v>
      </c>
      <c r="AY61">
        <v>26</v>
      </c>
      <c r="AZ61">
        <v>1288</v>
      </c>
      <c r="BA61">
        <v>51</v>
      </c>
      <c r="BB61">
        <v>2</v>
      </c>
      <c r="BC61">
        <v>37</v>
      </c>
      <c r="BD61">
        <v>6020</v>
      </c>
      <c r="BE61">
        <v>124</v>
      </c>
      <c r="BF61">
        <v>3.17</v>
      </c>
      <c r="BG61">
        <v>1.1579999999999999</v>
      </c>
      <c r="BH61">
        <v>8.3000000000000007</v>
      </c>
      <c r="BI61">
        <v>0.7</v>
      </c>
      <c r="BJ61">
        <v>2.2000000000000002</v>
      </c>
      <c r="BK61">
        <v>7.9</v>
      </c>
      <c r="BL61">
        <v>3.66</v>
      </c>
      <c r="BM61">
        <v>1053</v>
      </c>
    </row>
    <row r="62" spans="1:65" x14ac:dyDescent="0.35">
      <c r="A62">
        <v>2015</v>
      </c>
      <c r="B62" t="s">
        <v>29</v>
      </c>
      <c r="C62">
        <v>83</v>
      </c>
      <c r="D62">
        <v>79</v>
      </c>
      <c r="E62">
        <v>703</v>
      </c>
      <c r="F62">
        <v>635</v>
      </c>
      <c r="G62" s="45">
        <f t="shared" si="7"/>
        <v>1.1070866141732283</v>
      </c>
      <c r="H62" s="41">
        <f t="shared" si="3"/>
        <v>0.55069119288995061</v>
      </c>
      <c r="I62" s="45">
        <f t="shared" si="8"/>
        <v>0.51234567901234573</v>
      </c>
      <c r="J62" s="45">
        <f t="shared" si="9"/>
        <v>3.8345513877604875E-2</v>
      </c>
      <c r="AV62">
        <v>604</v>
      </c>
      <c r="AW62">
        <v>140</v>
      </c>
      <c r="AX62">
        <v>467</v>
      </c>
      <c r="AY62">
        <v>33</v>
      </c>
      <c r="AZ62">
        <v>1248</v>
      </c>
      <c r="BA62">
        <v>55</v>
      </c>
      <c r="BB62">
        <v>4</v>
      </c>
      <c r="BC62">
        <v>57</v>
      </c>
      <c r="BD62">
        <v>6131</v>
      </c>
      <c r="BE62">
        <v>101</v>
      </c>
      <c r="BF62">
        <v>3.74</v>
      </c>
      <c r="BG62">
        <v>1.2749999999999999</v>
      </c>
      <c r="BH62">
        <v>8.6</v>
      </c>
      <c r="BI62">
        <v>0.9</v>
      </c>
      <c r="BJ62">
        <v>2.9</v>
      </c>
      <c r="BK62">
        <v>7.7</v>
      </c>
      <c r="BL62">
        <v>2.67</v>
      </c>
      <c r="BM62">
        <v>1111</v>
      </c>
    </row>
    <row r="63" spans="1:65" x14ac:dyDescent="0.35">
      <c r="A63" s="1">
        <v>2014</v>
      </c>
      <c r="B63" t="s">
        <v>0</v>
      </c>
      <c r="C63">
        <v>64</v>
      </c>
      <c r="D63">
        <v>98</v>
      </c>
      <c r="E63">
        <v>615</v>
      </c>
      <c r="F63">
        <v>742</v>
      </c>
      <c r="G63" s="45">
        <f t="shared" ref="G63:G126" si="10">E63/F63</f>
        <v>0.82884097035040427</v>
      </c>
      <c r="H63" s="41">
        <f t="shared" si="3"/>
        <v>0.40722381509686267</v>
      </c>
      <c r="I63" s="45">
        <f t="shared" si="8"/>
        <v>0.39506172839506171</v>
      </c>
      <c r="J63" s="45">
        <f t="shared" si="9"/>
        <v>1.2162086701800967E-2</v>
      </c>
    </row>
    <row r="64" spans="1:65" x14ac:dyDescent="0.35">
      <c r="A64" s="1">
        <v>2014</v>
      </c>
      <c r="B64" t="s">
        <v>1</v>
      </c>
      <c r="C64">
        <v>79</v>
      </c>
      <c r="D64">
        <v>83</v>
      </c>
      <c r="E64">
        <v>573</v>
      </c>
      <c r="F64">
        <v>597</v>
      </c>
      <c r="G64" s="45">
        <f t="shared" si="10"/>
        <v>0.95979899497487442</v>
      </c>
      <c r="H64" s="41">
        <f t="shared" si="3"/>
        <v>0.47949580715543755</v>
      </c>
      <c r="I64" s="45">
        <f t="shared" si="8"/>
        <v>0.48765432098765432</v>
      </c>
      <c r="J64" s="45">
        <f t="shared" si="9"/>
        <v>8.1585138322167738E-3</v>
      </c>
    </row>
    <row r="65" spans="1:10" x14ac:dyDescent="0.35">
      <c r="A65" s="1">
        <v>2014</v>
      </c>
      <c r="B65" t="s">
        <v>2</v>
      </c>
      <c r="C65">
        <v>96</v>
      </c>
      <c r="D65">
        <v>66</v>
      </c>
      <c r="E65">
        <v>705</v>
      </c>
      <c r="F65">
        <v>593</v>
      </c>
      <c r="G65" s="45">
        <f t="shared" si="10"/>
        <v>1.1888701517706577</v>
      </c>
      <c r="H65" s="41">
        <f t="shared" si="3"/>
        <v>0.58564890641164913</v>
      </c>
      <c r="I65" s="45">
        <f t="shared" si="8"/>
        <v>0.59259259259259256</v>
      </c>
      <c r="J65" s="45">
        <f t="shared" si="9"/>
        <v>6.9436861809434314E-3</v>
      </c>
    </row>
    <row r="66" spans="1:10" x14ac:dyDescent="0.35">
      <c r="A66" s="1">
        <v>2014</v>
      </c>
      <c r="B66" t="s">
        <v>3</v>
      </c>
      <c r="C66">
        <v>71</v>
      </c>
      <c r="D66">
        <v>91</v>
      </c>
      <c r="E66">
        <v>634</v>
      </c>
      <c r="F66">
        <v>715</v>
      </c>
      <c r="G66" s="45">
        <f t="shared" si="10"/>
        <v>0.88671328671328675</v>
      </c>
      <c r="H66" s="41">
        <f t="shared" si="3"/>
        <v>0.44017122563872879</v>
      </c>
      <c r="I66" s="45">
        <f t="shared" si="8"/>
        <v>0.43827160493827161</v>
      </c>
      <c r="J66" s="45">
        <f t="shared" si="9"/>
        <v>1.899620700457183E-3</v>
      </c>
    </row>
    <row r="67" spans="1:10" x14ac:dyDescent="0.35">
      <c r="A67" s="1">
        <v>2014</v>
      </c>
      <c r="B67" t="s">
        <v>4</v>
      </c>
      <c r="C67">
        <v>73</v>
      </c>
      <c r="D67">
        <v>89</v>
      </c>
      <c r="E67">
        <v>614</v>
      </c>
      <c r="F67">
        <v>707</v>
      </c>
      <c r="G67" s="45">
        <f t="shared" si="10"/>
        <v>0.86845827439886847</v>
      </c>
      <c r="H67" s="41">
        <f t="shared" si="3"/>
        <v>0.42994599957803259</v>
      </c>
      <c r="I67" s="45">
        <f t="shared" si="8"/>
        <v>0.45061728395061729</v>
      </c>
      <c r="J67" s="45">
        <f t="shared" si="9"/>
        <v>2.0671284372584697E-2</v>
      </c>
    </row>
    <row r="68" spans="1:10" x14ac:dyDescent="0.35">
      <c r="A68" s="1">
        <v>2014</v>
      </c>
      <c r="B68" t="s">
        <v>5</v>
      </c>
      <c r="C68">
        <v>73</v>
      </c>
      <c r="D68">
        <v>89</v>
      </c>
      <c r="E68">
        <v>660</v>
      </c>
      <c r="F68">
        <v>758</v>
      </c>
      <c r="G68" s="45">
        <f t="shared" si="10"/>
        <v>0.87071240105540892</v>
      </c>
      <c r="H68" s="41">
        <f t="shared" ref="H68:H131" si="11">(G68^$G$1)/((G68^$G$1)+1)</f>
        <v>0.43121710930106399</v>
      </c>
      <c r="I68" s="45">
        <f t="shared" si="8"/>
        <v>0.45061728395061729</v>
      </c>
      <c r="J68" s="45">
        <f t="shared" si="9"/>
        <v>1.9400174649553292E-2</v>
      </c>
    </row>
    <row r="69" spans="1:10" x14ac:dyDescent="0.35">
      <c r="A69" s="1">
        <v>2014</v>
      </c>
      <c r="B69" t="s">
        <v>6</v>
      </c>
      <c r="C69">
        <v>76</v>
      </c>
      <c r="D69">
        <v>86</v>
      </c>
      <c r="E69">
        <v>595</v>
      </c>
      <c r="F69">
        <v>612</v>
      </c>
      <c r="G69" s="45">
        <f t="shared" si="10"/>
        <v>0.97222222222222221</v>
      </c>
      <c r="H69" s="41">
        <f t="shared" si="11"/>
        <v>0.48591828639428797</v>
      </c>
      <c r="I69" s="45">
        <f t="shared" si="8"/>
        <v>0.46913580246913578</v>
      </c>
      <c r="J69" s="45">
        <f t="shared" si="9"/>
        <v>1.6782483925152192E-2</v>
      </c>
    </row>
    <row r="70" spans="1:10" x14ac:dyDescent="0.35">
      <c r="A70" s="1">
        <v>2014</v>
      </c>
      <c r="B70" t="s">
        <v>7</v>
      </c>
      <c r="C70">
        <v>85</v>
      </c>
      <c r="D70">
        <v>77</v>
      </c>
      <c r="E70">
        <v>669</v>
      </c>
      <c r="F70">
        <v>653</v>
      </c>
      <c r="G70" s="45">
        <f t="shared" si="10"/>
        <v>1.0245022970903521</v>
      </c>
      <c r="H70" s="41">
        <f t="shared" si="11"/>
        <v>0.51210110186848512</v>
      </c>
      <c r="I70" s="45">
        <f t="shared" si="8"/>
        <v>0.52469135802469136</v>
      </c>
      <c r="J70" s="45">
        <f t="shared" si="9"/>
        <v>1.2590256156206237E-2</v>
      </c>
    </row>
    <row r="71" spans="1:10" x14ac:dyDescent="0.35">
      <c r="A71" s="1">
        <v>2014</v>
      </c>
      <c r="B71" t="s">
        <v>8</v>
      </c>
      <c r="C71">
        <v>66</v>
      </c>
      <c r="D71">
        <v>96</v>
      </c>
      <c r="E71">
        <v>755</v>
      </c>
      <c r="F71">
        <v>818</v>
      </c>
      <c r="G71" s="45">
        <f t="shared" si="10"/>
        <v>0.92298288508557458</v>
      </c>
      <c r="H71" s="41">
        <f t="shared" si="11"/>
        <v>0.46001328330975533</v>
      </c>
      <c r="I71" s="45">
        <f t="shared" si="8"/>
        <v>0.40740740740740738</v>
      </c>
      <c r="J71" s="45">
        <f t="shared" si="9"/>
        <v>5.2605875902347943E-2</v>
      </c>
    </row>
    <row r="72" spans="1:10" x14ac:dyDescent="0.35">
      <c r="A72" s="1">
        <v>2014</v>
      </c>
      <c r="B72" t="s">
        <v>9</v>
      </c>
      <c r="C72">
        <v>90</v>
      </c>
      <c r="D72">
        <v>72</v>
      </c>
      <c r="E72">
        <v>757</v>
      </c>
      <c r="F72">
        <v>705</v>
      </c>
      <c r="G72" s="45">
        <f t="shared" si="10"/>
        <v>1.0737588652482271</v>
      </c>
      <c r="H72" s="41">
        <f t="shared" si="11"/>
        <v>0.53552277692944616</v>
      </c>
      <c r="I72" s="45">
        <f t="shared" si="8"/>
        <v>0.55555555555555558</v>
      </c>
      <c r="J72" s="45">
        <f t="shared" si="9"/>
        <v>2.0032778626109415E-2</v>
      </c>
    </row>
    <row r="73" spans="1:10" x14ac:dyDescent="0.35">
      <c r="A73" s="1">
        <v>2014</v>
      </c>
      <c r="B73" t="s">
        <v>10</v>
      </c>
      <c r="C73">
        <v>70</v>
      </c>
      <c r="D73">
        <v>92</v>
      </c>
      <c r="E73">
        <v>629</v>
      </c>
      <c r="F73">
        <v>723</v>
      </c>
      <c r="G73" s="45">
        <f t="shared" si="10"/>
        <v>0.86998616874135548</v>
      </c>
      <c r="H73" s="41">
        <f t="shared" si="11"/>
        <v>0.43080784433289415</v>
      </c>
      <c r="I73" s="45">
        <f t="shared" si="8"/>
        <v>0.43209876543209874</v>
      </c>
      <c r="J73" s="45">
        <f t="shared" si="9"/>
        <v>1.2909210992045894E-3</v>
      </c>
    </row>
    <row r="74" spans="1:10" x14ac:dyDescent="0.35">
      <c r="A74" s="1">
        <v>2014</v>
      </c>
      <c r="B74" t="s">
        <v>11</v>
      </c>
      <c r="C74">
        <v>89</v>
      </c>
      <c r="D74">
        <v>73</v>
      </c>
      <c r="E74">
        <v>651</v>
      </c>
      <c r="F74">
        <v>624</v>
      </c>
      <c r="G74" s="45">
        <f t="shared" si="10"/>
        <v>1.0432692307692308</v>
      </c>
      <c r="H74" s="41">
        <f t="shared" si="11"/>
        <v>0.52116697840691506</v>
      </c>
      <c r="I74" s="45">
        <f t="shared" si="8"/>
        <v>0.54938271604938271</v>
      </c>
      <c r="J74" s="45">
        <f t="shared" si="9"/>
        <v>2.8215737642467653E-2</v>
      </c>
    </row>
    <row r="75" spans="1:10" x14ac:dyDescent="0.35">
      <c r="A75" s="1">
        <v>2014</v>
      </c>
      <c r="B75" t="s">
        <v>12</v>
      </c>
      <c r="C75">
        <v>98</v>
      </c>
      <c r="D75">
        <v>64</v>
      </c>
      <c r="E75">
        <v>773</v>
      </c>
      <c r="F75">
        <v>630</v>
      </c>
      <c r="G75" s="45">
        <f t="shared" si="10"/>
        <v>1.2269841269841271</v>
      </c>
      <c r="H75" s="41">
        <f t="shared" si="11"/>
        <v>0.6008764828861588</v>
      </c>
      <c r="I75" s="45">
        <f t="shared" si="8"/>
        <v>0.60493827160493829</v>
      </c>
      <c r="J75" s="45">
        <f t="shared" si="9"/>
        <v>4.061788718779491E-3</v>
      </c>
    </row>
    <row r="76" spans="1:10" x14ac:dyDescent="0.35">
      <c r="A76" s="1">
        <v>2014</v>
      </c>
      <c r="B76" t="s">
        <v>13</v>
      </c>
      <c r="C76">
        <v>94</v>
      </c>
      <c r="D76">
        <v>68</v>
      </c>
      <c r="E76">
        <v>718</v>
      </c>
      <c r="F76">
        <v>617</v>
      </c>
      <c r="G76" s="45">
        <f t="shared" si="10"/>
        <v>1.1636952998379255</v>
      </c>
      <c r="H76" s="41">
        <f t="shared" si="11"/>
        <v>0.5752248628395259</v>
      </c>
      <c r="I76" s="45">
        <f t="shared" si="8"/>
        <v>0.58024691358024694</v>
      </c>
      <c r="J76" s="45">
        <f t="shared" si="9"/>
        <v>5.0220507407210402E-3</v>
      </c>
    </row>
    <row r="77" spans="1:10" x14ac:dyDescent="0.35">
      <c r="A77" s="1">
        <v>2014</v>
      </c>
      <c r="B77" t="s">
        <v>14</v>
      </c>
      <c r="C77">
        <v>77</v>
      </c>
      <c r="D77">
        <v>85</v>
      </c>
      <c r="E77">
        <v>645</v>
      </c>
      <c r="F77">
        <v>674</v>
      </c>
      <c r="G77" s="45">
        <f t="shared" si="10"/>
        <v>0.95697329376854601</v>
      </c>
      <c r="H77" s="41">
        <f t="shared" si="11"/>
        <v>0.47802426976413909</v>
      </c>
      <c r="I77" s="45">
        <f t="shared" si="8"/>
        <v>0.47530864197530864</v>
      </c>
      <c r="J77" s="45">
        <f t="shared" si="9"/>
        <v>2.7156277888304436E-3</v>
      </c>
    </row>
    <row r="78" spans="1:10" x14ac:dyDescent="0.35">
      <c r="A78" s="1">
        <v>2014</v>
      </c>
      <c r="B78" t="s">
        <v>15</v>
      </c>
      <c r="C78">
        <v>82</v>
      </c>
      <c r="D78">
        <v>80</v>
      </c>
      <c r="E78">
        <v>650</v>
      </c>
      <c r="F78">
        <v>657</v>
      </c>
      <c r="G78" s="45">
        <f t="shared" si="10"/>
        <v>0.98934550989345504</v>
      </c>
      <c r="H78" s="41">
        <f t="shared" si="11"/>
        <v>0.49464437703492015</v>
      </c>
      <c r="I78" s="45">
        <f t="shared" si="8"/>
        <v>0.50617283950617287</v>
      </c>
      <c r="J78" s="45">
        <f t="shared" si="9"/>
        <v>1.1528462471252721E-2</v>
      </c>
    </row>
    <row r="79" spans="1:10" x14ac:dyDescent="0.35">
      <c r="A79" s="1">
        <v>2014</v>
      </c>
      <c r="B79" t="s">
        <v>16</v>
      </c>
      <c r="C79">
        <v>70</v>
      </c>
      <c r="D79">
        <v>92</v>
      </c>
      <c r="E79">
        <v>715</v>
      </c>
      <c r="F79">
        <v>777</v>
      </c>
      <c r="G79" s="45">
        <f t="shared" si="10"/>
        <v>0.92020592020592018</v>
      </c>
      <c r="H79" s="41">
        <f t="shared" si="11"/>
        <v>0.45851667423050635</v>
      </c>
      <c r="I79" s="45">
        <f t="shared" si="8"/>
        <v>0.43209876543209874</v>
      </c>
      <c r="J79" s="45">
        <f t="shared" si="9"/>
        <v>2.6417908798407608E-2</v>
      </c>
    </row>
    <row r="80" spans="1:10" x14ac:dyDescent="0.35">
      <c r="A80" s="1">
        <v>2014</v>
      </c>
      <c r="B80" t="s">
        <v>17</v>
      </c>
      <c r="C80">
        <v>79</v>
      </c>
      <c r="D80">
        <v>83</v>
      </c>
      <c r="E80">
        <v>629</v>
      </c>
      <c r="F80">
        <v>618</v>
      </c>
      <c r="G80" s="45">
        <f t="shared" si="10"/>
        <v>1.0177993527508091</v>
      </c>
      <c r="H80" s="41">
        <f t="shared" si="11"/>
        <v>0.50882048446110617</v>
      </c>
      <c r="I80" s="45">
        <f t="shared" si="8"/>
        <v>0.48765432098765432</v>
      </c>
      <c r="J80" s="45">
        <f t="shared" si="9"/>
        <v>2.1166163473451849E-2</v>
      </c>
    </row>
    <row r="81" spans="1:10" x14ac:dyDescent="0.35">
      <c r="A81" s="1">
        <v>2014</v>
      </c>
      <c r="B81" t="s">
        <v>18</v>
      </c>
      <c r="C81">
        <v>84</v>
      </c>
      <c r="D81">
        <v>78</v>
      </c>
      <c r="E81">
        <v>633</v>
      </c>
      <c r="F81">
        <v>664</v>
      </c>
      <c r="G81" s="45">
        <f t="shared" si="10"/>
        <v>0.95331325301204817</v>
      </c>
      <c r="H81" s="41">
        <f t="shared" si="11"/>
        <v>0.47611233565237027</v>
      </c>
      <c r="I81" s="45">
        <f t="shared" si="8"/>
        <v>0.51851851851851849</v>
      </c>
      <c r="J81" s="45">
        <f t="shared" si="9"/>
        <v>4.2406182866148223E-2</v>
      </c>
    </row>
    <row r="82" spans="1:10" x14ac:dyDescent="0.35">
      <c r="A82" s="1">
        <v>2014</v>
      </c>
      <c r="B82" t="s">
        <v>19</v>
      </c>
      <c r="C82">
        <v>88</v>
      </c>
      <c r="D82">
        <v>74</v>
      </c>
      <c r="E82">
        <v>729</v>
      </c>
      <c r="F82">
        <v>572</v>
      </c>
      <c r="G82" s="45">
        <f t="shared" si="10"/>
        <v>1.2744755244755244</v>
      </c>
      <c r="H82" s="41">
        <f t="shared" si="11"/>
        <v>0.61894424224777977</v>
      </c>
      <c r="I82" s="45">
        <f t="shared" si="8"/>
        <v>0.54320987654320985</v>
      </c>
      <c r="J82" s="45">
        <f t="shared" si="9"/>
        <v>7.5734365704569928E-2</v>
      </c>
    </row>
    <row r="83" spans="1:10" x14ac:dyDescent="0.35">
      <c r="A83" s="1">
        <v>2014</v>
      </c>
      <c r="B83" t="s">
        <v>20</v>
      </c>
      <c r="C83">
        <v>73</v>
      </c>
      <c r="D83">
        <v>89</v>
      </c>
      <c r="E83">
        <v>619</v>
      </c>
      <c r="F83">
        <v>687</v>
      </c>
      <c r="G83" s="45">
        <f t="shared" si="10"/>
        <v>0.90101892285298402</v>
      </c>
      <c r="H83" s="41">
        <f t="shared" si="11"/>
        <v>0.44807339234970123</v>
      </c>
      <c r="I83" s="45">
        <f t="shared" si="8"/>
        <v>0.45061728395061729</v>
      </c>
      <c r="J83" s="45">
        <f t="shared" si="9"/>
        <v>2.5438916009160595E-3</v>
      </c>
    </row>
    <row r="84" spans="1:10" x14ac:dyDescent="0.35">
      <c r="A84" s="1">
        <v>2014</v>
      </c>
      <c r="B84" t="s">
        <v>21</v>
      </c>
      <c r="C84">
        <v>88</v>
      </c>
      <c r="D84">
        <v>74</v>
      </c>
      <c r="E84">
        <v>682</v>
      </c>
      <c r="F84">
        <v>631</v>
      </c>
      <c r="G84" s="45">
        <f t="shared" si="10"/>
        <v>1.0808240887480189</v>
      </c>
      <c r="H84" s="41">
        <f t="shared" si="11"/>
        <v>0.53878383152724774</v>
      </c>
      <c r="I84" s="45">
        <f t="shared" si="8"/>
        <v>0.54320987654320985</v>
      </c>
      <c r="J84" s="45">
        <f t="shared" si="9"/>
        <v>4.4260450159621101E-3</v>
      </c>
    </row>
    <row r="85" spans="1:10" x14ac:dyDescent="0.35">
      <c r="A85" s="1">
        <v>2014</v>
      </c>
      <c r="B85" t="s">
        <v>22</v>
      </c>
      <c r="C85">
        <v>77</v>
      </c>
      <c r="D85">
        <v>85</v>
      </c>
      <c r="E85">
        <v>535</v>
      </c>
      <c r="F85">
        <v>577</v>
      </c>
      <c r="G85" s="45">
        <f t="shared" si="10"/>
        <v>0.92720970537261693</v>
      </c>
      <c r="H85" s="41">
        <f t="shared" si="11"/>
        <v>0.46228401980767309</v>
      </c>
      <c r="I85" s="45">
        <f t="shared" si="8"/>
        <v>0.47530864197530864</v>
      </c>
      <c r="J85" s="45">
        <f t="shared" si="9"/>
        <v>1.3024622167635558E-2</v>
      </c>
    </row>
    <row r="86" spans="1:10" x14ac:dyDescent="0.35">
      <c r="A86" s="1">
        <v>2014</v>
      </c>
      <c r="B86" t="s">
        <v>23</v>
      </c>
      <c r="C86">
        <v>87</v>
      </c>
      <c r="D86">
        <v>75</v>
      </c>
      <c r="E86">
        <v>634</v>
      </c>
      <c r="F86">
        <v>554</v>
      </c>
      <c r="G86" s="45">
        <f t="shared" si="10"/>
        <v>1.144404332129964</v>
      </c>
      <c r="H86" s="41">
        <f t="shared" si="11"/>
        <v>0.56703607985644799</v>
      </c>
      <c r="I86" s="45">
        <f t="shared" si="8"/>
        <v>0.53703703703703709</v>
      </c>
      <c r="J86" s="45">
        <f t="shared" si="9"/>
        <v>2.9999042819410904E-2</v>
      </c>
    </row>
    <row r="87" spans="1:10" x14ac:dyDescent="0.35">
      <c r="A87" s="1">
        <v>2014</v>
      </c>
      <c r="B87" t="s">
        <v>24</v>
      </c>
      <c r="C87">
        <v>88</v>
      </c>
      <c r="D87">
        <v>74</v>
      </c>
      <c r="E87">
        <v>665</v>
      </c>
      <c r="F87">
        <v>614</v>
      </c>
      <c r="G87" s="45">
        <f t="shared" si="10"/>
        <v>1.0830618892508144</v>
      </c>
      <c r="H87" s="41">
        <f t="shared" si="11"/>
        <v>0.53981160150923868</v>
      </c>
      <c r="I87" s="45">
        <f t="shared" si="8"/>
        <v>0.54320987654320985</v>
      </c>
      <c r="J87" s="45">
        <f t="shared" si="9"/>
        <v>3.3982750339711654E-3</v>
      </c>
    </row>
    <row r="88" spans="1:10" x14ac:dyDescent="0.35">
      <c r="A88" s="1">
        <v>2014</v>
      </c>
      <c r="B88" t="s">
        <v>25</v>
      </c>
      <c r="C88">
        <v>90</v>
      </c>
      <c r="D88">
        <v>72</v>
      </c>
      <c r="E88">
        <v>619</v>
      </c>
      <c r="F88">
        <v>603</v>
      </c>
      <c r="G88" s="45">
        <f t="shared" si="10"/>
        <v>1.0265339966832505</v>
      </c>
      <c r="H88" s="41">
        <f t="shared" si="11"/>
        <v>0.5130910454356763</v>
      </c>
      <c r="I88" s="45">
        <f t="shared" si="8"/>
        <v>0.55555555555555558</v>
      </c>
      <c r="J88" s="45">
        <f t="shared" si="9"/>
        <v>4.2464510119879284E-2</v>
      </c>
    </row>
    <row r="89" spans="1:10" x14ac:dyDescent="0.35">
      <c r="A89" s="1">
        <v>2014</v>
      </c>
      <c r="B89" t="s">
        <v>26</v>
      </c>
      <c r="C89">
        <v>77</v>
      </c>
      <c r="D89">
        <v>85</v>
      </c>
      <c r="E89">
        <v>612</v>
      </c>
      <c r="F89">
        <v>625</v>
      </c>
      <c r="G89" s="45">
        <f t="shared" si="10"/>
        <v>0.97919999999999996</v>
      </c>
      <c r="H89" s="41">
        <f t="shared" si="11"/>
        <v>0.48949186388889254</v>
      </c>
      <c r="I89" s="45">
        <f t="shared" si="8"/>
        <v>0.47530864197530864</v>
      </c>
      <c r="J89" s="45">
        <f t="shared" si="9"/>
        <v>1.4183221913583899E-2</v>
      </c>
    </row>
    <row r="90" spans="1:10" x14ac:dyDescent="0.35">
      <c r="A90" s="1">
        <v>2014</v>
      </c>
      <c r="B90" t="s">
        <v>27</v>
      </c>
      <c r="C90">
        <v>67</v>
      </c>
      <c r="D90">
        <v>95</v>
      </c>
      <c r="E90">
        <v>637</v>
      </c>
      <c r="F90">
        <v>773</v>
      </c>
      <c r="G90" s="45">
        <f t="shared" si="10"/>
        <v>0.82406209573091849</v>
      </c>
      <c r="H90" s="41">
        <f t="shared" si="11"/>
        <v>0.40443517280010527</v>
      </c>
      <c r="I90" s="45">
        <f t="shared" si="8"/>
        <v>0.41358024691358025</v>
      </c>
      <c r="J90" s="45">
        <f t="shared" si="9"/>
        <v>9.1450741134749824E-3</v>
      </c>
    </row>
    <row r="91" spans="1:10" x14ac:dyDescent="0.35">
      <c r="A91" s="1">
        <v>2014</v>
      </c>
      <c r="B91" t="s">
        <v>28</v>
      </c>
      <c r="C91">
        <v>83</v>
      </c>
      <c r="D91">
        <v>79</v>
      </c>
      <c r="E91">
        <v>723</v>
      </c>
      <c r="F91">
        <v>686</v>
      </c>
      <c r="G91" s="45">
        <f t="shared" si="10"/>
        <v>1.0539358600583091</v>
      </c>
      <c r="H91" s="41">
        <f t="shared" si="11"/>
        <v>0.52624166310120057</v>
      </c>
      <c r="I91" s="45">
        <f t="shared" si="8"/>
        <v>0.51234567901234573</v>
      </c>
      <c r="J91" s="45">
        <f t="shared" si="9"/>
        <v>1.389598408885484E-2</v>
      </c>
    </row>
    <row r="92" spans="1:10" x14ac:dyDescent="0.35">
      <c r="A92" s="1">
        <v>2014</v>
      </c>
      <c r="B92" t="s">
        <v>29</v>
      </c>
      <c r="C92">
        <v>96</v>
      </c>
      <c r="D92">
        <v>66</v>
      </c>
      <c r="E92">
        <v>686</v>
      </c>
      <c r="F92">
        <v>555</v>
      </c>
      <c r="G92" s="45">
        <f t="shared" si="10"/>
        <v>1.2360360360360361</v>
      </c>
      <c r="H92" s="41">
        <f t="shared" si="11"/>
        <v>0.60439674758322726</v>
      </c>
      <c r="I92" s="45">
        <f t="shared" si="8"/>
        <v>0.59259259259259256</v>
      </c>
      <c r="J92" s="45">
        <f t="shared" si="9"/>
        <v>1.1804154990634697E-2</v>
      </c>
    </row>
    <row r="93" spans="1:10" x14ac:dyDescent="0.35">
      <c r="A93" s="1">
        <v>2013</v>
      </c>
      <c r="B93" t="s">
        <v>0</v>
      </c>
      <c r="C93">
        <v>81</v>
      </c>
      <c r="D93">
        <v>81</v>
      </c>
      <c r="E93">
        <v>685</v>
      </c>
      <c r="F93">
        <v>695</v>
      </c>
      <c r="G93" s="45">
        <f t="shared" si="10"/>
        <v>0.98561151079136688</v>
      </c>
      <c r="H93" s="41">
        <f t="shared" si="11"/>
        <v>0.49275400367550537</v>
      </c>
      <c r="I93" s="45">
        <f t="shared" ref="I93:I156" si="12">C93/162</f>
        <v>0.5</v>
      </c>
      <c r="J93" s="45">
        <f t="shared" ref="J93:J156" si="13">ABS(H93-I93)</f>
        <v>7.2459963244946302E-3</v>
      </c>
    </row>
    <row r="94" spans="1:10" x14ac:dyDescent="0.35">
      <c r="A94" s="1">
        <v>2013</v>
      </c>
      <c r="B94" t="s">
        <v>1</v>
      </c>
      <c r="C94">
        <v>96</v>
      </c>
      <c r="D94">
        <v>66</v>
      </c>
      <c r="E94">
        <v>688</v>
      </c>
      <c r="F94">
        <v>548</v>
      </c>
      <c r="G94" s="45">
        <f t="shared" si="10"/>
        <v>1.2554744525547445</v>
      </c>
      <c r="H94" s="41">
        <f t="shared" si="11"/>
        <v>0.61183380555498101</v>
      </c>
      <c r="I94" s="45">
        <f t="shared" si="12"/>
        <v>0.59259259259259256</v>
      </c>
      <c r="J94" s="45">
        <f t="shared" si="13"/>
        <v>1.9241212962388454E-2</v>
      </c>
    </row>
    <row r="95" spans="1:10" x14ac:dyDescent="0.35">
      <c r="A95" s="1">
        <v>2013</v>
      </c>
      <c r="B95" t="s">
        <v>2</v>
      </c>
      <c r="C95">
        <v>85</v>
      </c>
      <c r="D95">
        <v>77</v>
      </c>
      <c r="E95">
        <v>745</v>
      </c>
      <c r="F95">
        <v>709</v>
      </c>
      <c r="G95" s="45">
        <f t="shared" si="10"/>
        <v>1.0507757404795486</v>
      </c>
      <c r="H95" s="41">
        <f t="shared" si="11"/>
        <v>0.52474411603980686</v>
      </c>
      <c r="I95" s="45">
        <f t="shared" si="12"/>
        <v>0.52469135802469136</v>
      </c>
      <c r="J95" s="45">
        <f t="shared" si="13"/>
        <v>5.2758015115506041E-5</v>
      </c>
    </row>
    <row r="96" spans="1:10" x14ac:dyDescent="0.35">
      <c r="A96" s="1">
        <v>2013</v>
      </c>
      <c r="B96" t="s">
        <v>3</v>
      </c>
      <c r="C96">
        <v>97</v>
      </c>
      <c r="D96">
        <v>65</v>
      </c>
      <c r="E96">
        <v>853</v>
      </c>
      <c r="F96">
        <v>656</v>
      </c>
      <c r="G96" s="45">
        <f t="shared" si="10"/>
        <v>1.3003048780487805</v>
      </c>
      <c r="H96" s="41">
        <f t="shared" si="11"/>
        <v>0.62836231427226685</v>
      </c>
      <c r="I96" s="45">
        <f t="shared" si="12"/>
        <v>0.59876543209876543</v>
      </c>
      <c r="J96" s="45">
        <f t="shared" si="13"/>
        <v>2.9596882173501426E-2</v>
      </c>
    </row>
    <row r="97" spans="1:10" x14ac:dyDescent="0.35">
      <c r="A97" s="1">
        <v>2013</v>
      </c>
      <c r="B97" t="s">
        <v>4</v>
      </c>
      <c r="C97">
        <v>66</v>
      </c>
      <c r="D97">
        <v>96</v>
      </c>
      <c r="E97">
        <v>602</v>
      </c>
      <c r="F97">
        <v>689</v>
      </c>
      <c r="G97" s="45">
        <f t="shared" si="10"/>
        <v>0.8737300435413643</v>
      </c>
      <c r="H97" s="41">
        <f t="shared" si="11"/>
        <v>0.43291503658354491</v>
      </c>
      <c r="I97" s="45">
        <f t="shared" si="12"/>
        <v>0.40740740740740738</v>
      </c>
      <c r="J97" s="45">
        <f t="shared" si="13"/>
        <v>2.5507629176137525E-2</v>
      </c>
    </row>
    <row r="98" spans="1:10" x14ac:dyDescent="0.35">
      <c r="A98" s="1">
        <v>2013</v>
      </c>
      <c r="B98" t="s">
        <v>5</v>
      </c>
      <c r="C98">
        <v>63</v>
      </c>
      <c r="D98">
        <v>99</v>
      </c>
      <c r="E98">
        <v>598</v>
      </c>
      <c r="F98">
        <v>723</v>
      </c>
      <c r="G98" s="45">
        <f t="shared" si="10"/>
        <v>0.82710926694329179</v>
      </c>
      <c r="H98" s="41">
        <f t="shared" si="11"/>
        <v>0.40621446657117249</v>
      </c>
      <c r="I98" s="45">
        <f t="shared" si="12"/>
        <v>0.3888888888888889</v>
      </c>
      <c r="J98" s="45">
        <f t="shared" si="13"/>
        <v>1.7325577682283599E-2</v>
      </c>
    </row>
    <row r="99" spans="1:10" x14ac:dyDescent="0.35">
      <c r="A99" s="1">
        <v>2013</v>
      </c>
      <c r="B99" t="s">
        <v>6</v>
      </c>
      <c r="C99">
        <v>90</v>
      </c>
      <c r="D99">
        <v>72</v>
      </c>
      <c r="E99">
        <v>698</v>
      </c>
      <c r="F99">
        <v>589</v>
      </c>
      <c r="G99" s="45">
        <f t="shared" si="10"/>
        <v>1.1850594227504245</v>
      </c>
      <c r="H99" s="41">
        <f t="shared" si="11"/>
        <v>0.5840899145811479</v>
      </c>
      <c r="I99" s="45">
        <f t="shared" si="12"/>
        <v>0.55555555555555558</v>
      </c>
      <c r="J99" s="45">
        <f t="shared" si="13"/>
        <v>2.8534359025592315E-2</v>
      </c>
    </row>
    <row r="100" spans="1:10" x14ac:dyDescent="0.35">
      <c r="A100" s="1">
        <v>2013</v>
      </c>
      <c r="B100" t="s">
        <v>7</v>
      </c>
      <c r="C100">
        <v>92</v>
      </c>
      <c r="D100">
        <v>70</v>
      </c>
      <c r="E100">
        <v>745</v>
      </c>
      <c r="F100">
        <v>662</v>
      </c>
      <c r="G100" s="45">
        <f t="shared" si="10"/>
        <v>1.1253776435045317</v>
      </c>
      <c r="H100" s="41">
        <f t="shared" si="11"/>
        <v>0.55878618984383888</v>
      </c>
      <c r="I100" s="45">
        <f t="shared" si="12"/>
        <v>0.5679012345679012</v>
      </c>
      <c r="J100" s="45">
        <f t="shared" si="13"/>
        <v>9.1150447240623267E-3</v>
      </c>
    </row>
    <row r="101" spans="1:10" x14ac:dyDescent="0.35">
      <c r="A101" s="1">
        <v>2013</v>
      </c>
      <c r="B101" t="s">
        <v>8</v>
      </c>
      <c r="C101">
        <v>74</v>
      </c>
      <c r="D101">
        <v>88</v>
      </c>
      <c r="E101">
        <v>706</v>
      </c>
      <c r="F101">
        <v>760</v>
      </c>
      <c r="G101" s="45">
        <f t="shared" si="10"/>
        <v>0.92894736842105263</v>
      </c>
      <c r="H101" s="41">
        <f t="shared" si="11"/>
        <v>0.46321498537223665</v>
      </c>
      <c r="I101" s="45">
        <f t="shared" si="12"/>
        <v>0.4567901234567901</v>
      </c>
      <c r="J101" s="45">
        <f t="shared" si="13"/>
        <v>6.4248619154465558E-3</v>
      </c>
    </row>
    <row r="102" spans="1:10" x14ac:dyDescent="0.35">
      <c r="A102" s="1">
        <v>2013</v>
      </c>
      <c r="B102" t="s">
        <v>9</v>
      </c>
      <c r="C102">
        <v>93</v>
      </c>
      <c r="D102">
        <v>69</v>
      </c>
      <c r="E102">
        <v>796</v>
      </c>
      <c r="F102">
        <v>624</v>
      </c>
      <c r="G102" s="45">
        <f t="shared" si="10"/>
        <v>1.2756410256410255</v>
      </c>
      <c r="H102" s="41">
        <f t="shared" si="11"/>
        <v>0.61937532258316774</v>
      </c>
      <c r="I102" s="45">
        <f t="shared" si="12"/>
        <v>0.57407407407407407</v>
      </c>
      <c r="J102" s="45">
        <f t="shared" si="13"/>
        <v>4.5301248509093672E-2</v>
      </c>
    </row>
    <row r="103" spans="1:10" x14ac:dyDescent="0.35">
      <c r="A103" s="1">
        <v>2013</v>
      </c>
      <c r="B103" t="s">
        <v>10</v>
      </c>
      <c r="C103">
        <v>51</v>
      </c>
      <c r="D103">
        <v>111</v>
      </c>
      <c r="E103">
        <v>610</v>
      </c>
      <c r="F103">
        <v>848</v>
      </c>
      <c r="G103" s="45">
        <f t="shared" si="10"/>
        <v>0.71933962264150941</v>
      </c>
      <c r="H103" s="41">
        <f t="shared" si="11"/>
        <v>0.34099948313972456</v>
      </c>
      <c r="I103" s="45">
        <f t="shared" si="12"/>
        <v>0.31481481481481483</v>
      </c>
      <c r="J103" s="45">
        <f t="shared" si="13"/>
        <v>2.6184668324909732E-2</v>
      </c>
    </row>
    <row r="104" spans="1:10" x14ac:dyDescent="0.35">
      <c r="A104" s="1">
        <v>2013</v>
      </c>
      <c r="B104" t="s">
        <v>11</v>
      </c>
      <c r="C104">
        <v>86</v>
      </c>
      <c r="D104">
        <v>76</v>
      </c>
      <c r="E104">
        <v>648</v>
      </c>
      <c r="F104">
        <v>601</v>
      </c>
      <c r="G104" s="45">
        <f t="shared" si="10"/>
        <v>1.0782029950083194</v>
      </c>
      <c r="H104" s="41">
        <f t="shared" si="11"/>
        <v>0.53757689427157684</v>
      </c>
      <c r="I104" s="45">
        <f t="shared" si="12"/>
        <v>0.53086419753086422</v>
      </c>
      <c r="J104" s="45">
        <f t="shared" si="13"/>
        <v>6.7126967407126203E-3</v>
      </c>
    </row>
    <row r="105" spans="1:10" x14ac:dyDescent="0.35">
      <c r="A105" s="1">
        <v>2013</v>
      </c>
      <c r="B105" t="s">
        <v>12</v>
      </c>
      <c r="C105">
        <v>78</v>
      </c>
      <c r="D105">
        <v>84</v>
      </c>
      <c r="E105">
        <v>733</v>
      </c>
      <c r="F105">
        <v>737</v>
      </c>
      <c r="G105" s="45">
        <f t="shared" si="10"/>
        <v>0.99457259158751699</v>
      </c>
      <c r="H105" s="41">
        <f t="shared" si="11"/>
        <v>0.49727893171229243</v>
      </c>
      <c r="I105" s="45">
        <f t="shared" si="12"/>
        <v>0.48148148148148145</v>
      </c>
      <c r="J105" s="45">
        <f t="shared" si="13"/>
        <v>1.5797450230810972E-2</v>
      </c>
    </row>
    <row r="106" spans="1:10" x14ac:dyDescent="0.35">
      <c r="A106" s="1">
        <v>2013</v>
      </c>
      <c r="B106" t="s">
        <v>13</v>
      </c>
      <c r="C106">
        <v>92</v>
      </c>
      <c r="D106">
        <v>70</v>
      </c>
      <c r="E106">
        <v>649</v>
      </c>
      <c r="F106">
        <v>582</v>
      </c>
      <c r="G106" s="45">
        <f t="shared" si="10"/>
        <v>1.1151202749140894</v>
      </c>
      <c r="H106" s="41">
        <f t="shared" si="11"/>
        <v>0.55426653946113102</v>
      </c>
      <c r="I106" s="45">
        <f t="shared" si="12"/>
        <v>0.5679012345679012</v>
      </c>
      <c r="J106" s="45">
        <f t="shared" si="13"/>
        <v>1.3634695106770178E-2</v>
      </c>
    </row>
    <row r="107" spans="1:10" x14ac:dyDescent="0.35">
      <c r="A107" s="1">
        <v>2013</v>
      </c>
      <c r="B107" t="s">
        <v>14</v>
      </c>
      <c r="C107">
        <v>62</v>
      </c>
      <c r="D107">
        <v>100</v>
      </c>
      <c r="E107">
        <v>513</v>
      </c>
      <c r="F107">
        <v>646</v>
      </c>
      <c r="G107" s="45">
        <f t="shared" si="10"/>
        <v>0.79411764705882348</v>
      </c>
      <c r="H107" s="41">
        <f t="shared" si="11"/>
        <v>0.38673740053050393</v>
      </c>
      <c r="I107" s="45">
        <f t="shared" si="12"/>
        <v>0.38271604938271603</v>
      </c>
      <c r="J107" s="45">
        <f t="shared" si="13"/>
        <v>4.0213511477878994E-3</v>
      </c>
    </row>
    <row r="108" spans="1:10" x14ac:dyDescent="0.35">
      <c r="A108" s="1">
        <v>2013</v>
      </c>
      <c r="B108" t="s">
        <v>15</v>
      </c>
      <c r="C108">
        <v>74</v>
      </c>
      <c r="D108">
        <v>88</v>
      </c>
      <c r="E108">
        <v>640</v>
      </c>
      <c r="F108">
        <v>687</v>
      </c>
      <c r="G108" s="45">
        <f t="shared" si="10"/>
        <v>0.93158660844250363</v>
      </c>
      <c r="H108" s="41">
        <f t="shared" si="11"/>
        <v>0.464626138169559</v>
      </c>
      <c r="I108" s="45">
        <f t="shared" si="12"/>
        <v>0.4567901234567901</v>
      </c>
      <c r="J108" s="45">
        <f t="shared" si="13"/>
        <v>7.8360147127689017E-3</v>
      </c>
    </row>
    <row r="109" spans="1:10" x14ac:dyDescent="0.35">
      <c r="A109" s="1">
        <v>2013</v>
      </c>
      <c r="B109" t="s">
        <v>16</v>
      </c>
      <c r="C109">
        <v>66</v>
      </c>
      <c r="D109">
        <v>96</v>
      </c>
      <c r="E109">
        <v>614</v>
      </c>
      <c r="F109">
        <v>788</v>
      </c>
      <c r="G109" s="45">
        <f t="shared" si="10"/>
        <v>0.7791878172588832</v>
      </c>
      <c r="H109" s="41">
        <f t="shared" si="11"/>
        <v>0.37777421488265828</v>
      </c>
      <c r="I109" s="45">
        <f t="shared" si="12"/>
        <v>0.40740740740740738</v>
      </c>
      <c r="J109" s="45">
        <f t="shared" si="13"/>
        <v>2.9633192524749108E-2</v>
      </c>
    </row>
    <row r="110" spans="1:10" x14ac:dyDescent="0.35">
      <c r="A110" s="1">
        <v>2013</v>
      </c>
      <c r="B110" t="s">
        <v>17</v>
      </c>
      <c r="C110">
        <v>74</v>
      </c>
      <c r="D110">
        <v>88</v>
      </c>
      <c r="E110">
        <v>619</v>
      </c>
      <c r="F110">
        <v>684</v>
      </c>
      <c r="G110" s="45">
        <f t="shared" si="10"/>
        <v>0.90497076023391809</v>
      </c>
      <c r="H110" s="41">
        <f t="shared" si="11"/>
        <v>0.45023894939819065</v>
      </c>
      <c r="I110" s="45">
        <f t="shared" si="12"/>
        <v>0.4567901234567901</v>
      </c>
      <c r="J110" s="45">
        <f t="shared" si="13"/>
        <v>6.5511740585994516E-3</v>
      </c>
    </row>
    <row r="111" spans="1:10" x14ac:dyDescent="0.35">
      <c r="A111" s="1">
        <v>2013</v>
      </c>
      <c r="B111" t="s">
        <v>18</v>
      </c>
      <c r="C111">
        <v>85</v>
      </c>
      <c r="D111">
        <v>77</v>
      </c>
      <c r="E111">
        <v>650</v>
      </c>
      <c r="F111">
        <v>671</v>
      </c>
      <c r="G111" s="45">
        <f t="shared" si="10"/>
        <v>0.96870342771982121</v>
      </c>
      <c r="H111" s="41">
        <f t="shared" si="11"/>
        <v>0.48410696873413767</v>
      </c>
      <c r="I111" s="45">
        <f t="shared" si="12"/>
        <v>0.52469135802469136</v>
      </c>
      <c r="J111" s="45">
        <f t="shared" si="13"/>
        <v>4.0584389290553691E-2</v>
      </c>
    </row>
    <row r="112" spans="1:10" x14ac:dyDescent="0.35">
      <c r="A112" s="1">
        <v>2013</v>
      </c>
      <c r="B112" t="s">
        <v>19</v>
      </c>
      <c r="C112">
        <v>96</v>
      </c>
      <c r="D112">
        <v>66</v>
      </c>
      <c r="E112">
        <v>767</v>
      </c>
      <c r="F112">
        <v>625</v>
      </c>
      <c r="G112" s="45">
        <f t="shared" si="10"/>
        <v>1.2272000000000001</v>
      </c>
      <c r="H112" s="41">
        <f t="shared" si="11"/>
        <v>0.60096086070890797</v>
      </c>
      <c r="I112" s="45">
        <f t="shared" si="12"/>
        <v>0.59259259259259256</v>
      </c>
      <c r="J112" s="45">
        <f t="shared" si="13"/>
        <v>8.3682681163154138E-3</v>
      </c>
    </row>
    <row r="113" spans="1:10" x14ac:dyDescent="0.35">
      <c r="A113" s="1">
        <v>2013</v>
      </c>
      <c r="B113" t="s">
        <v>20</v>
      </c>
      <c r="C113">
        <v>73</v>
      </c>
      <c r="D113">
        <v>89</v>
      </c>
      <c r="E113">
        <v>610</v>
      </c>
      <c r="F113">
        <v>749</v>
      </c>
      <c r="G113" s="45">
        <f t="shared" si="10"/>
        <v>0.8144192256341789</v>
      </c>
      <c r="H113" s="41">
        <f t="shared" si="11"/>
        <v>0.39877783862625804</v>
      </c>
      <c r="I113" s="45">
        <f t="shared" si="12"/>
        <v>0.45061728395061729</v>
      </c>
      <c r="J113" s="45">
        <f t="shared" si="13"/>
        <v>5.1839445324359246E-2</v>
      </c>
    </row>
    <row r="114" spans="1:10" x14ac:dyDescent="0.35">
      <c r="A114" s="1">
        <v>2013</v>
      </c>
      <c r="B114" t="s">
        <v>21</v>
      </c>
      <c r="C114">
        <v>94</v>
      </c>
      <c r="D114">
        <v>68</v>
      </c>
      <c r="E114">
        <v>634</v>
      </c>
      <c r="F114">
        <v>577</v>
      </c>
      <c r="G114" s="45">
        <f t="shared" si="10"/>
        <v>1.098786828422877</v>
      </c>
      <c r="H114" s="41">
        <f t="shared" si="11"/>
        <v>0.5469644910428163</v>
      </c>
      <c r="I114" s="45">
        <f t="shared" si="12"/>
        <v>0.58024691358024694</v>
      </c>
      <c r="J114" s="45">
        <f t="shared" si="13"/>
        <v>3.3282422537430634E-2</v>
      </c>
    </row>
    <row r="115" spans="1:10" x14ac:dyDescent="0.35">
      <c r="A115" s="1">
        <v>2013</v>
      </c>
      <c r="B115" t="s">
        <v>22</v>
      </c>
      <c r="C115">
        <v>76</v>
      </c>
      <c r="D115">
        <v>86</v>
      </c>
      <c r="E115">
        <v>618</v>
      </c>
      <c r="F115">
        <v>700</v>
      </c>
      <c r="G115" s="45">
        <f t="shared" si="10"/>
        <v>0.8828571428571429</v>
      </c>
      <c r="H115" s="41">
        <f t="shared" si="11"/>
        <v>0.43802441497194711</v>
      </c>
      <c r="I115" s="45">
        <f t="shared" si="12"/>
        <v>0.46913580246913578</v>
      </c>
      <c r="J115" s="45">
        <f t="shared" si="13"/>
        <v>3.1111387497188669E-2</v>
      </c>
    </row>
    <row r="116" spans="1:10" x14ac:dyDescent="0.35">
      <c r="A116" s="1">
        <v>2013</v>
      </c>
      <c r="B116" t="s">
        <v>23</v>
      </c>
      <c r="C116">
        <v>71</v>
      </c>
      <c r="D116">
        <v>91</v>
      </c>
      <c r="E116">
        <v>624</v>
      </c>
      <c r="F116">
        <v>754</v>
      </c>
      <c r="G116" s="45">
        <f t="shared" si="10"/>
        <v>0.82758620689655171</v>
      </c>
      <c r="H116" s="41">
        <f t="shared" si="11"/>
        <v>0.40649258997882853</v>
      </c>
      <c r="I116" s="45">
        <f t="shared" si="12"/>
        <v>0.43827160493827161</v>
      </c>
      <c r="J116" s="45">
        <f t="shared" si="13"/>
        <v>3.1779014959443075E-2</v>
      </c>
    </row>
    <row r="117" spans="1:10" x14ac:dyDescent="0.35">
      <c r="A117" s="1">
        <v>2013</v>
      </c>
      <c r="B117" t="s">
        <v>24</v>
      </c>
      <c r="C117">
        <v>76</v>
      </c>
      <c r="D117">
        <v>86</v>
      </c>
      <c r="E117">
        <v>629</v>
      </c>
      <c r="F117">
        <v>691</v>
      </c>
      <c r="G117" s="45">
        <f t="shared" si="10"/>
        <v>0.91027496382054995</v>
      </c>
      <c r="H117" s="41">
        <f t="shared" si="11"/>
        <v>0.45313369723818664</v>
      </c>
      <c r="I117" s="45">
        <f t="shared" si="12"/>
        <v>0.46913580246913578</v>
      </c>
      <c r="J117" s="45">
        <f t="shared" si="13"/>
        <v>1.6002105230949137E-2</v>
      </c>
    </row>
    <row r="118" spans="1:10" x14ac:dyDescent="0.35">
      <c r="A118" s="1">
        <v>2013</v>
      </c>
      <c r="B118" t="s">
        <v>25</v>
      </c>
      <c r="C118">
        <v>97</v>
      </c>
      <c r="D118">
        <v>65</v>
      </c>
      <c r="E118">
        <v>783</v>
      </c>
      <c r="F118">
        <v>596</v>
      </c>
      <c r="G118" s="45">
        <f t="shared" si="10"/>
        <v>1.313758389261745</v>
      </c>
      <c r="H118" s="41">
        <f t="shared" si="11"/>
        <v>0.6331569082055758</v>
      </c>
      <c r="I118" s="45">
        <f t="shared" si="12"/>
        <v>0.59876543209876543</v>
      </c>
      <c r="J118" s="45">
        <f t="shared" si="13"/>
        <v>3.439147610681037E-2</v>
      </c>
    </row>
    <row r="119" spans="1:10" x14ac:dyDescent="0.35">
      <c r="A119" s="1">
        <v>2013</v>
      </c>
      <c r="B119" t="s">
        <v>26</v>
      </c>
      <c r="C119">
        <v>92</v>
      </c>
      <c r="D119">
        <v>71</v>
      </c>
      <c r="E119">
        <v>700</v>
      </c>
      <c r="F119">
        <v>646</v>
      </c>
      <c r="G119" s="45">
        <f t="shared" si="10"/>
        <v>1.0835913312693499</v>
      </c>
      <c r="H119" s="41">
        <f t="shared" si="11"/>
        <v>0.54005440221488432</v>
      </c>
      <c r="I119" s="45">
        <f t="shared" si="12"/>
        <v>0.5679012345679012</v>
      </c>
      <c r="J119" s="45">
        <f t="shared" si="13"/>
        <v>2.7846832353016882E-2</v>
      </c>
    </row>
    <row r="120" spans="1:10" x14ac:dyDescent="0.35">
      <c r="A120" s="1">
        <v>2013</v>
      </c>
      <c r="B120" t="s">
        <v>27</v>
      </c>
      <c r="C120">
        <v>91</v>
      </c>
      <c r="D120">
        <v>72</v>
      </c>
      <c r="E120">
        <v>730</v>
      </c>
      <c r="F120">
        <v>636</v>
      </c>
      <c r="G120" s="45">
        <f t="shared" si="10"/>
        <v>1.1477987421383649</v>
      </c>
      <c r="H120" s="41">
        <f t="shared" si="11"/>
        <v>0.56848973112750634</v>
      </c>
      <c r="I120" s="45">
        <f t="shared" si="12"/>
        <v>0.56172839506172845</v>
      </c>
      <c r="J120" s="45">
        <f t="shared" si="13"/>
        <v>6.7613360657778898E-3</v>
      </c>
    </row>
    <row r="121" spans="1:10" x14ac:dyDescent="0.35">
      <c r="A121" s="1">
        <v>2013</v>
      </c>
      <c r="B121" t="s">
        <v>28</v>
      </c>
      <c r="C121">
        <v>74</v>
      </c>
      <c r="D121">
        <v>88</v>
      </c>
      <c r="E121">
        <v>712</v>
      </c>
      <c r="F121">
        <v>756</v>
      </c>
      <c r="G121" s="45">
        <f t="shared" si="10"/>
        <v>0.94179894179894175</v>
      </c>
      <c r="H121" s="41">
        <f t="shared" si="11"/>
        <v>0.47005415028558706</v>
      </c>
      <c r="I121" s="45">
        <f t="shared" si="12"/>
        <v>0.4567901234567901</v>
      </c>
      <c r="J121" s="45">
        <f t="shared" si="13"/>
        <v>1.326402682879696E-2</v>
      </c>
    </row>
    <row r="122" spans="1:10" x14ac:dyDescent="0.35">
      <c r="A122" s="1">
        <v>2013</v>
      </c>
      <c r="B122" t="s">
        <v>29</v>
      </c>
      <c r="C122">
        <v>86</v>
      </c>
      <c r="D122">
        <v>76</v>
      </c>
      <c r="E122">
        <v>656</v>
      </c>
      <c r="F122">
        <v>626</v>
      </c>
      <c r="G122" s="45">
        <f t="shared" si="10"/>
        <v>1.0479233226837061</v>
      </c>
      <c r="H122" s="41">
        <f t="shared" si="11"/>
        <v>0.5233881286091665</v>
      </c>
      <c r="I122" s="45">
        <f t="shared" si="12"/>
        <v>0.53086419753086422</v>
      </c>
      <c r="J122" s="45">
        <f t="shared" si="13"/>
        <v>7.4760689216977205E-3</v>
      </c>
    </row>
    <row r="123" spans="1:10" x14ac:dyDescent="0.35">
      <c r="A123" s="1">
        <v>2012</v>
      </c>
      <c r="B123" t="s">
        <v>0</v>
      </c>
      <c r="C123">
        <v>81</v>
      </c>
      <c r="D123">
        <v>81</v>
      </c>
      <c r="E123">
        <v>734</v>
      </c>
      <c r="F123">
        <v>688</v>
      </c>
      <c r="G123" s="45">
        <f t="shared" si="10"/>
        <v>1.066860465116279</v>
      </c>
      <c r="H123" s="41">
        <f t="shared" si="11"/>
        <v>0.53231498863748639</v>
      </c>
      <c r="I123" s="45">
        <f t="shared" si="12"/>
        <v>0.5</v>
      </c>
      <c r="J123" s="45">
        <f t="shared" si="13"/>
        <v>3.2314988637486386E-2</v>
      </c>
    </row>
    <row r="124" spans="1:10" x14ac:dyDescent="0.35">
      <c r="A124" s="1">
        <v>2012</v>
      </c>
      <c r="B124" t="s">
        <v>1</v>
      </c>
      <c r="C124">
        <v>94</v>
      </c>
      <c r="D124">
        <v>68</v>
      </c>
      <c r="E124">
        <v>700</v>
      </c>
      <c r="F124">
        <v>600</v>
      </c>
      <c r="G124" s="45">
        <f t="shared" si="10"/>
        <v>1.1666666666666667</v>
      </c>
      <c r="H124" s="41">
        <f t="shared" si="11"/>
        <v>0.57647058823529407</v>
      </c>
      <c r="I124" s="45">
        <f t="shared" si="12"/>
        <v>0.58024691358024694</v>
      </c>
      <c r="J124" s="45">
        <f t="shared" si="13"/>
        <v>3.7763253449528689E-3</v>
      </c>
    </row>
    <row r="125" spans="1:10" x14ac:dyDescent="0.35">
      <c r="A125" s="1">
        <v>2012</v>
      </c>
      <c r="B125" t="s">
        <v>2</v>
      </c>
      <c r="C125">
        <v>93</v>
      </c>
      <c r="D125">
        <v>69</v>
      </c>
      <c r="E125">
        <v>712</v>
      </c>
      <c r="F125">
        <v>705</v>
      </c>
      <c r="G125" s="45">
        <f t="shared" si="10"/>
        <v>1.0099290780141843</v>
      </c>
      <c r="H125" s="41">
        <f t="shared" si="11"/>
        <v>0.5049398935624505</v>
      </c>
      <c r="I125" s="45">
        <f t="shared" si="12"/>
        <v>0.57407407407407407</v>
      </c>
      <c r="J125" s="45">
        <f t="shared" si="13"/>
        <v>6.9134180511623566E-2</v>
      </c>
    </row>
    <row r="126" spans="1:10" x14ac:dyDescent="0.35">
      <c r="A126" s="1">
        <v>2012</v>
      </c>
      <c r="B126" t="s">
        <v>3</v>
      </c>
      <c r="C126">
        <v>69</v>
      </c>
      <c r="D126">
        <v>93</v>
      </c>
      <c r="E126">
        <v>734</v>
      </c>
      <c r="F126">
        <v>806</v>
      </c>
      <c r="G126" s="45">
        <f t="shared" si="10"/>
        <v>0.91066997518610426</v>
      </c>
      <c r="H126" s="41">
        <f t="shared" si="11"/>
        <v>0.45334872668277809</v>
      </c>
      <c r="I126" s="45">
        <f t="shared" si="12"/>
        <v>0.42592592592592593</v>
      </c>
      <c r="J126" s="45">
        <f t="shared" si="13"/>
        <v>2.7422800756852161E-2</v>
      </c>
    </row>
    <row r="127" spans="1:10" x14ac:dyDescent="0.35">
      <c r="A127" s="1">
        <v>2012</v>
      </c>
      <c r="B127" t="s">
        <v>4</v>
      </c>
      <c r="C127">
        <v>61</v>
      </c>
      <c r="D127">
        <v>101</v>
      </c>
      <c r="E127">
        <v>613</v>
      </c>
      <c r="F127">
        <v>759</v>
      </c>
      <c r="G127" s="45">
        <f t="shared" ref="G127:G190" si="14">E127/F127</f>
        <v>0.80764163372859021</v>
      </c>
      <c r="H127" s="41">
        <f t="shared" si="11"/>
        <v>0.39477753847770125</v>
      </c>
      <c r="I127" s="45">
        <f t="shared" si="12"/>
        <v>0.37654320987654322</v>
      </c>
      <c r="J127" s="45">
        <f t="shared" si="13"/>
        <v>1.8234328601158034E-2</v>
      </c>
    </row>
    <row r="128" spans="1:10" x14ac:dyDescent="0.35">
      <c r="A128" s="1">
        <v>2012</v>
      </c>
      <c r="B128" t="s">
        <v>5</v>
      </c>
      <c r="C128">
        <v>85</v>
      </c>
      <c r="D128">
        <v>77</v>
      </c>
      <c r="E128">
        <v>748</v>
      </c>
      <c r="F128">
        <v>676</v>
      </c>
      <c r="G128" s="45">
        <f t="shared" si="14"/>
        <v>1.1065088757396451</v>
      </c>
      <c r="H128" s="41">
        <f t="shared" si="11"/>
        <v>0.55043286636234856</v>
      </c>
      <c r="I128" s="45">
        <f t="shared" si="12"/>
        <v>0.52469135802469136</v>
      </c>
      <c r="J128" s="45">
        <f t="shared" si="13"/>
        <v>2.5741508337657204E-2</v>
      </c>
    </row>
    <row r="129" spans="1:10" x14ac:dyDescent="0.35">
      <c r="A129" s="1">
        <v>2012</v>
      </c>
      <c r="B129" t="s">
        <v>6</v>
      </c>
      <c r="C129">
        <v>97</v>
      </c>
      <c r="D129">
        <v>65</v>
      </c>
      <c r="E129">
        <v>669</v>
      </c>
      <c r="F129">
        <v>588</v>
      </c>
      <c r="G129" s="45">
        <f t="shared" si="14"/>
        <v>1.1377551020408163</v>
      </c>
      <c r="H129" s="41">
        <f t="shared" si="11"/>
        <v>0.56417267003233318</v>
      </c>
      <c r="I129" s="45">
        <f t="shared" si="12"/>
        <v>0.59876543209876543</v>
      </c>
      <c r="J129" s="45">
        <f t="shared" si="13"/>
        <v>3.4592762066432248E-2</v>
      </c>
    </row>
    <row r="130" spans="1:10" x14ac:dyDescent="0.35">
      <c r="A130" s="1">
        <v>2012</v>
      </c>
      <c r="B130" t="s">
        <v>7</v>
      </c>
      <c r="C130">
        <v>68</v>
      </c>
      <c r="D130">
        <v>94</v>
      </c>
      <c r="E130">
        <v>667</v>
      </c>
      <c r="F130">
        <v>845</v>
      </c>
      <c r="G130" s="45">
        <f t="shared" si="14"/>
        <v>0.78934911242603545</v>
      </c>
      <c r="H130" s="41">
        <f t="shared" si="11"/>
        <v>0.38388439521828194</v>
      </c>
      <c r="I130" s="45">
        <f t="shared" si="12"/>
        <v>0.41975308641975306</v>
      </c>
      <c r="J130" s="45">
        <f t="shared" si="13"/>
        <v>3.5868691201471126E-2</v>
      </c>
    </row>
    <row r="131" spans="1:10" x14ac:dyDescent="0.35">
      <c r="A131" s="1">
        <v>2012</v>
      </c>
      <c r="B131" t="s">
        <v>8</v>
      </c>
      <c r="C131">
        <v>64</v>
      </c>
      <c r="D131">
        <v>98</v>
      </c>
      <c r="E131">
        <v>758</v>
      </c>
      <c r="F131">
        <v>890</v>
      </c>
      <c r="G131" s="45">
        <f t="shared" si="14"/>
        <v>0.85168539325842696</v>
      </c>
      <c r="H131" s="41">
        <f t="shared" si="11"/>
        <v>0.42041350324586002</v>
      </c>
      <c r="I131" s="45">
        <f t="shared" si="12"/>
        <v>0.39506172839506171</v>
      </c>
      <c r="J131" s="45">
        <f t="shared" si="13"/>
        <v>2.5351774850798314E-2</v>
      </c>
    </row>
    <row r="132" spans="1:10" x14ac:dyDescent="0.35">
      <c r="A132" s="1">
        <v>2012</v>
      </c>
      <c r="B132" t="s">
        <v>9</v>
      </c>
      <c r="C132">
        <v>88</v>
      </c>
      <c r="D132">
        <v>74</v>
      </c>
      <c r="E132">
        <v>726</v>
      </c>
      <c r="F132">
        <v>670</v>
      </c>
      <c r="G132" s="45">
        <f t="shared" si="14"/>
        <v>1.0835820895522388</v>
      </c>
      <c r="H132" s="41">
        <f t="shared" ref="H132:H195" si="15">(G132^$G$1)/((G132^$G$1)+1)</f>
        <v>0.54005016516799587</v>
      </c>
      <c r="I132" s="45">
        <f t="shared" si="12"/>
        <v>0.54320987654320985</v>
      </c>
      <c r="J132" s="45">
        <f t="shared" si="13"/>
        <v>3.1597113752139805E-3</v>
      </c>
    </row>
    <row r="133" spans="1:10" x14ac:dyDescent="0.35">
      <c r="A133" s="1">
        <v>2012</v>
      </c>
      <c r="B133" t="s">
        <v>10</v>
      </c>
      <c r="C133">
        <v>55</v>
      </c>
      <c r="D133">
        <v>107</v>
      </c>
      <c r="E133">
        <v>583</v>
      </c>
      <c r="F133">
        <v>794</v>
      </c>
      <c r="G133" s="45">
        <f t="shared" si="14"/>
        <v>0.73425692695214106</v>
      </c>
      <c r="H133" s="41">
        <f t="shared" si="15"/>
        <v>0.35028366784324838</v>
      </c>
      <c r="I133" s="45">
        <f t="shared" si="12"/>
        <v>0.33950617283950618</v>
      </c>
      <c r="J133" s="45">
        <f t="shared" si="13"/>
        <v>1.0777495003742199E-2</v>
      </c>
    </row>
    <row r="134" spans="1:10" x14ac:dyDescent="0.35">
      <c r="A134" s="1">
        <v>2012</v>
      </c>
      <c r="B134" t="s">
        <v>11</v>
      </c>
      <c r="C134">
        <v>72</v>
      </c>
      <c r="D134">
        <v>90</v>
      </c>
      <c r="E134">
        <v>676</v>
      </c>
      <c r="F134">
        <v>746</v>
      </c>
      <c r="G134" s="45">
        <f t="shared" si="14"/>
        <v>0.90616621983914214</v>
      </c>
      <c r="H134" s="41">
        <f t="shared" si="15"/>
        <v>0.45089255761268959</v>
      </c>
      <c r="I134" s="45">
        <f t="shared" si="12"/>
        <v>0.44444444444444442</v>
      </c>
      <c r="J134" s="45">
        <f t="shared" si="13"/>
        <v>6.4481131682451731E-3</v>
      </c>
    </row>
    <row r="135" spans="1:10" x14ac:dyDescent="0.35">
      <c r="A135" s="1">
        <v>2012</v>
      </c>
      <c r="B135" t="s">
        <v>12</v>
      </c>
      <c r="C135">
        <v>89</v>
      </c>
      <c r="D135">
        <v>73</v>
      </c>
      <c r="E135">
        <v>767</v>
      </c>
      <c r="F135">
        <v>699</v>
      </c>
      <c r="G135" s="45">
        <f t="shared" si="14"/>
        <v>1.0972818311874106</v>
      </c>
      <c r="H135" s="41">
        <f t="shared" si="15"/>
        <v>0.54628513590060268</v>
      </c>
      <c r="I135" s="45">
        <f t="shared" si="12"/>
        <v>0.54938271604938271</v>
      </c>
      <c r="J135" s="45">
        <f t="shared" si="13"/>
        <v>3.0975801487800325E-3</v>
      </c>
    </row>
    <row r="136" spans="1:10" x14ac:dyDescent="0.35">
      <c r="A136" s="1">
        <v>2012</v>
      </c>
      <c r="B136" t="s">
        <v>13</v>
      </c>
      <c r="C136">
        <v>86</v>
      </c>
      <c r="D136">
        <v>76</v>
      </c>
      <c r="E136">
        <v>637</v>
      </c>
      <c r="F136">
        <v>597</v>
      </c>
      <c r="G136" s="45">
        <f t="shared" si="14"/>
        <v>1.067001675041876</v>
      </c>
      <c r="H136" s="41">
        <f t="shared" si="15"/>
        <v>0.5323808874042546</v>
      </c>
      <c r="I136" s="45">
        <f t="shared" si="12"/>
        <v>0.53086419753086422</v>
      </c>
      <c r="J136" s="45">
        <f t="shared" si="13"/>
        <v>1.5166898733903755E-3</v>
      </c>
    </row>
    <row r="137" spans="1:10" x14ac:dyDescent="0.35">
      <c r="A137" s="1">
        <v>2012</v>
      </c>
      <c r="B137" t="s">
        <v>14</v>
      </c>
      <c r="C137">
        <v>69</v>
      </c>
      <c r="D137">
        <v>93</v>
      </c>
      <c r="E137">
        <v>609</v>
      </c>
      <c r="F137">
        <v>724</v>
      </c>
      <c r="G137" s="45">
        <f t="shared" si="14"/>
        <v>0.84116022099447518</v>
      </c>
      <c r="H137" s="41">
        <f t="shared" si="15"/>
        <v>0.41436578899444398</v>
      </c>
      <c r="I137" s="45">
        <f t="shared" si="12"/>
        <v>0.42592592592592593</v>
      </c>
      <c r="J137" s="45">
        <f t="shared" si="13"/>
        <v>1.1560136931481946E-2</v>
      </c>
    </row>
    <row r="138" spans="1:10" x14ac:dyDescent="0.35">
      <c r="A138" s="1">
        <v>2012</v>
      </c>
      <c r="B138" t="s">
        <v>15</v>
      </c>
      <c r="C138">
        <v>83</v>
      </c>
      <c r="D138">
        <v>79</v>
      </c>
      <c r="E138">
        <v>776</v>
      </c>
      <c r="F138">
        <v>733</v>
      </c>
      <c r="G138" s="45">
        <f t="shared" si="14"/>
        <v>1.0586630286493861</v>
      </c>
      <c r="H138" s="41">
        <f t="shared" si="15"/>
        <v>0.5284725726547107</v>
      </c>
      <c r="I138" s="45">
        <f t="shared" si="12"/>
        <v>0.51234567901234573</v>
      </c>
      <c r="J138" s="45">
        <f t="shared" si="13"/>
        <v>1.612689364236497E-2</v>
      </c>
    </row>
    <row r="139" spans="1:10" x14ac:dyDescent="0.35">
      <c r="A139" s="1">
        <v>2012</v>
      </c>
      <c r="B139" t="s">
        <v>16</v>
      </c>
      <c r="C139">
        <v>66</v>
      </c>
      <c r="D139">
        <v>96</v>
      </c>
      <c r="E139">
        <v>701</v>
      </c>
      <c r="F139">
        <v>832</v>
      </c>
      <c r="G139" s="45">
        <f t="shared" si="14"/>
        <v>0.84254807692307687</v>
      </c>
      <c r="H139" s="41">
        <f t="shared" si="15"/>
        <v>0.41516612102650752</v>
      </c>
      <c r="I139" s="45">
        <f t="shared" si="12"/>
        <v>0.40740740740740738</v>
      </c>
      <c r="J139" s="45">
        <f t="shared" si="13"/>
        <v>7.7587136191001327E-3</v>
      </c>
    </row>
    <row r="140" spans="1:10" x14ac:dyDescent="0.35">
      <c r="A140" s="1">
        <v>2012</v>
      </c>
      <c r="B140" t="s">
        <v>17</v>
      </c>
      <c r="C140">
        <v>74</v>
      </c>
      <c r="D140">
        <v>88</v>
      </c>
      <c r="E140">
        <v>650</v>
      </c>
      <c r="F140">
        <v>709</v>
      </c>
      <c r="G140" s="45">
        <f t="shared" si="14"/>
        <v>0.91678420310296194</v>
      </c>
      <c r="H140" s="41">
        <f t="shared" si="15"/>
        <v>0.45666739805508327</v>
      </c>
      <c r="I140" s="45">
        <f t="shared" si="12"/>
        <v>0.4567901234567901</v>
      </c>
      <c r="J140" s="45">
        <f t="shared" si="13"/>
        <v>1.2272540170682467E-4</v>
      </c>
    </row>
    <row r="141" spans="1:10" x14ac:dyDescent="0.35">
      <c r="A141" s="1">
        <v>2012</v>
      </c>
      <c r="B141" t="s">
        <v>18</v>
      </c>
      <c r="C141">
        <v>95</v>
      </c>
      <c r="D141">
        <v>67</v>
      </c>
      <c r="E141">
        <v>804</v>
      </c>
      <c r="F141">
        <v>668</v>
      </c>
      <c r="G141" s="45">
        <f t="shared" si="14"/>
        <v>1.2035928143712575</v>
      </c>
      <c r="H141" s="41">
        <f t="shared" si="15"/>
        <v>0.59160931322301957</v>
      </c>
      <c r="I141" s="45">
        <f t="shared" si="12"/>
        <v>0.5864197530864198</v>
      </c>
      <c r="J141" s="45">
        <f t="shared" si="13"/>
        <v>5.189560136599769E-3</v>
      </c>
    </row>
    <row r="142" spans="1:10" x14ac:dyDescent="0.35">
      <c r="A142" s="1">
        <v>2012</v>
      </c>
      <c r="B142" t="s">
        <v>19</v>
      </c>
      <c r="C142">
        <v>94</v>
      </c>
      <c r="D142">
        <v>68</v>
      </c>
      <c r="E142">
        <v>713</v>
      </c>
      <c r="F142">
        <v>614</v>
      </c>
      <c r="G142" s="45">
        <f t="shared" si="14"/>
        <v>1.1612377850162867</v>
      </c>
      <c r="H142" s="41">
        <f t="shared" si="15"/>
        <v>0.57419143517080529</v>
      </c>
      <c r="I142" s="45">
        <f t="shared" si="12"/>
        <v>0.58024691358024694</v>
      </c>
      <c r="J142" s="45">
        <f t="shared" si="13"/>
        <v>6.0554784094416503E-3</v>
      </c>
    </row>
    <row r="143" spans="1:10" x14ac:dyDescent="0.35">
      <c r="A143" s="1">
        <v>2012</v>
      </c>
      <c r="B143" t="s">
        <v>20</v>
      </c>
      <c r="C143">
        <v>81</v>
      </c>
      <c r="D143">
        <v>81</v>
      </c>
      <c r="E143">
        <v>684</v>
      </c>
      <c r="F143">
        <v>680</v>
      </c>
      <c r="G143" s="45">
        <f t="shared" si="14"/>
        <v>1.0058823529411764</v>
      </c>
      <c r="H143" s="41">
        <f t="shared" si="15"/>
        <v>0.50293252610034234</v>
      </c>
      <c r="I143" s="45">
        <f t="shared" si="12"/>
        <v>0.5</v>
      </c>
      <c r="J143" s="45">
        <f t="shared" si="13"/>
        <v>2.9325261003423364E-3</v>
      </c>
    </row>
    <row r="144" spans="1:10" x14ac:dyDescent="0.35">
      <c r="A144" s="1">
        <v>2012</v>
      </c>
      <c r="B144" t="s">
        <v>21</v>
      </c>
      <c r="C144">
        <v>79</v>
      </c>
      <c r="D144">
        <v>83</v>
      </c>
      <c r="E144">
        <v>651</v>
      </c>
      <c r="F144">
        <v>674</v>
      </c>
      <c r="G144" s="45">
        <f t="shared" si="14"/>
        <v>0.96587537091988129</v>
      </c>
      <c r="H144" s="41">
        <f t="shared" si="15"/>
        <v>0.48264673827010618</v>
      </c>
      <c r="I144" s="45">
        <f t="shared" si="12"/>
        <v>0.48765432098765432</v>
      </c>
      <c r="J144" s="45">
        <f t="shared" si="13"/>
        <v>5.0075827175481424E-3</v>
      </c>
    </row>
    <row r="145" spans="1:10" x14ac:dyDescent="0.35">
      <c r="A145" s="1">
        <v>2012</v>
      </c>
      <c r="B145" t="s">
        <v>22</v>
      </c>
      <c r="C145">
        <v>76</v>
      </c>
      <c r="D145">
        <v>86</v>
      </c>
      <c r="E145">
        <v>651</v>
      </c>
      <c r="F145">
        <v>710</v>
      </c>
      <c r="G145" s="45">
        <f t="shared" si="14"/>
        <v>0.91690140845070423</v>
      </c>
      <c r="H145" s="41">
        <f t="shared" si="15"/>
        <v>0.45673083658709279</v>
      </c>
      <c r="I145" s="45">
        <f t="shared" si="12"/>
        <v>0.46913580246913578</v>
      </c>
      <c r="J145" s="45">
        <f t="shared" si="13"/>
        <v>1.2404965882042984E-2</v>
      </c>
    </row>
    <row r="146" spans="1:10" x14ac:dyDescent="0.35">
      <c r="A146" s="1">
        <v>2012</v>
      </c>
      <c r="B146" t="s">
        <v>23</v>
      </c>
      <c r="C146">
        <v>75</v>
      </c>
      <c r="D146">
        <v>87</v>
      </c>
      <c r="E146">
        <v>619</v>
      </c>
      <c r="F146">
        <v>651</v>
      </c>
      <c r="G146" s="45">
        <f t="shared" si="14"/>
        <v>0.95084485407066055</v>
      </c>
      <c r="H146" s="41">
        <f t="shared" si="15"/>
        <v>0.47481913646491414</v>
      </c>
      <c r="I146" s="45">
        <f t="shared" si="12"/>
        <v>0.46296296296296297</v>
      </c>
      <c r="J146" s="45">
        <f t="shared" si="13"/>
        <v>1.1856173501951173E-2</v>
      </c>
    </row>
    <row r="147" spans="1:10" x14ac:dyDescent="0.35">
      <c r="A147" s="1">
        <v>2012</v>
      </c>
      <c r="B147" t="s">
        <v>24</v>
      </c>
      <c r="C147">
        <v>94</v>
      </c>
      <c r="D147">
        <v>68</v>
      </c>
      <c r="E147">
        <v>718</v>
      </c>
      <c r="F147">
        <v>649</v>
      </c>
      <c r="G147" s="45">
        <f t="shared" si="14"/>
        <v>1.1063174114021572</v>
      </c>
      <c r="H147" s="41">
        <f t="shared" si="15"/>
        <v>0.55034722036883832</v>
      </c>
      <c r="I147" s="45">
        <f t="shared" si="12"/>
        <v>0.58024691358024694</v>
      </c>
      <c r="J147" s="45">
        <f t="shared" si="13"/>
        <v>2.9899693211408618E-2</v>
      </c>
    </row>
    <row r="148" spans="1:10" x14ac:dyDescent="0.35">
      <c r="A148" s="1">
        <v>2012</v>
      </c>
      <c r="B148" t="s">
        <v>25</v>
      </c>
      <c r="C148">
        <v>88</v>
      </c>
      <c r="D148">
        <v>74</v>
      </c>
      <c r="E148">
        <v>765</v>
      </c>
      <c r="F148">
        <v>648</v>
      </c>
      <c r="G148" s="45">
        <f t="shared" si="14"/>
        <v>1.1805555555555556</v>
      </c>
      <c r="H148" s="41">
        <f t="shared" si="15"/>
        <v>0.58223869771939729</v>
      </c>
      <c r="I148" s="45">
        <f t="shared" si="12"/>
        <v>0.54320987654320985</v>
      </c>
      <c r="J148" s="45">
        <f t="shared" si="13"/>
        <v>3.9028821176187445E-2</v>
      </c>
    </row>
    <row r="149" spans="1:10" x14ac:dyDescent="0.35">
      <c r="A149" s="1">
        <v>2012</v>
      </c>
      <c r="B149" t="s">
        <v>26</v>
      </c>
      <c r="C149">
        <v>90</v>
      </c>
      <c r="D149">
        <v>72</v>
      </c>
      <c r="E149">
        <v>697</v>
      </c>
      <c r="F149">
        <v>577</v>
      </c>
      <c r="G149" s="45">
        <f t="shared" si="14"/>
        <v>1.2079722703639515</v>
      </c>
      <c r="H149" s="41">
        <f t="shared" si="15"/>
        <v>0.59336320043774682</v>
      </c>
      <c r="I149" s="45">
        <f t="shared" si="12"/>
        <v>0.55555555555555558</v>
      </c>
      <c r="J149" s="45">
        <f t="shared" si="13"/>
        <v>3.7807644882191238E-2</v>
      </c>
    </row>
    <row r="150" spans="1:10" x14ac:dyDescent="0.35">
      <c r="A150" s="1">
        <v>2012</v>
      </c>
      <c r="B150" t="s">
        <v>27</v>
      </c>
      <c r="C150">
        <v>93</v>
      </c>
      <c r="D150">
        <v>69</v>
      </c>
      <c r="E150">
        <v>808</v>
      </c>
      <c r="F150">
        <v>707</v>
      </c>
      <c r="G150" s="45">
        <f t="shared" si="14"/>
        <v>1.1428571428571428</v>
      </c>
      <c r="H150" s="41">
        <f t="shared" si="15"/>
        <v>0.5663716814159292</v>
      </c>
      <c r="I150" s="45">
        <f t="shared" si="12"/>
        <v>0.57407407407407407</v>
      </c>
      <c r="J150" s="45">
        <f t="shared" si="13"/>
        <v>7.7023926581448743E-3</v>
      </c>
    </row>
    <row r="151" spans="1:10" x14ac:dyDescent="0.35">
      <c r="A151" s="1">
        <v>2012</v>
      </c>
      <c r="B151" t="s">
        <v>28</v>
      </c>
      <c r="C151">
        <v>73</v>
      </c>
      <c r="D151">
        <v>89</v>
      </c>
      <c r="E151">
        <v>716</v>
      </c>
      <c r="F151">
        <v>784</v>
      </c>
      <c r="G151" s="45">
        <f t="shared" si="14"/>
        <v>0.91326530612244894</v>
      </c>
      <c r="H151" s="41">
        <f t="shared" si="15"/>
        <v>0.4547596406318748</v>
      </c>
      <c r="I151" s="45">
        <f t="shared" si="12"/>
        <v>0.45061728395061729</v>
      </c>
      <c r="J151" s="45">
        <f t="shared" si="13"/>
        <v>4.1423566812575086E-3</v>
      </c>
    </row>
    <row r="152" spans="1:10" x14ac:dyDescent="0.35">
      <c r="A152" s="1">
        <v>2012</v>
      </c>
      <c r="B152" t="s">
        <v>29</v>
      </c>
      <c r="C152">
        <v>98</v>
      </c>
      <c r="D152">
        <v>64</v>
      </c>
      <c r="E152">
        <v>731</v>
      </c>
      <c r="F152">
        <v>594</v>
      </c>
      <c r="G152" s="45">
        <f t="shared" si="14"/>
        <v>1.2306397306397305</v>
      </c>
      <c r="H152" s="41">
        <f t="shared" si="15"/>
        <v>0.60230253258295496</v>
      </c>
      <c r="I152" s="45">
        <f t="shared" si="12"/>
        <v>0.60493827160493829</v>
      </c>
      <c r="J152" s="45">
        <f t="shared" si="13"/>
        <v>2.6357390219833299E-3</v>
      </c>
    </row>
    <row r="153" spans="1:10" x14ac:dyDescent="0.35">
      <c r="A153" s="1">
        <v>2011</v>
      </c>
      <c r="B153" t="s">
        <v>0</v>
      </c>
      <c r="C153">
        <v>94</v>
      </c>
      <c r="D153">
        <v>68</v>
      </c>
      <c r="E153">
        <v>731</v>
      </c>
      <c r="F153">
        <v>662</v>
      </c>
      <c r="G153" s="45">
        <f t="shared" si="14"/>
        <v>1.1042296072507554</v>
      </c>
      <c r="H153" s="41">
        <f t="shared" si="15"/>
        <v>0.54941214573233732</v>
      </c>
      <c r="I153" s="45">
        <f t="shared" si="12"/>
        <v>0.58024691358024694</v>
      </c>
      <c r="J153" s="45">
        <f t="shared" si="13"/>
        <v>3.0834767847909617E-2</v>
      </c>
    </row>
    <row r="154" spans="1:10" x14ac:dyDescent="0.35">
      <c r="A154" s="1">
        <v>2011</v>
      </c>
      <c r="B154" t="s">
        <v>1</v>
      </c>
      <c r="C154">
        <v>89</v>
      </c>
      <c r="D154">
        <v>73</v>
      </c>
      <c r="E154">
        <v>641</v>
      </c>
      <c r="F154">
        <v>605</v>
      </c>
      <c r="G154" s="45">
        <f t="shared" si="14"/>
        <v>1.0595041322314049</v>
      </c>
      <c r="H154" s="41">
        <f t="shared" si="15"/>
        <v>0.52886835730448734</v>
      </c>
      <c r="I154" s="45">
        <f t="shared" si="12"/>
        <v>0.54938271604938271</v>
      </c>
      <c r="J154" s="45">
        <f t="shared" si="13"/>
        <v>2.0514358744895378E-2</v>
      </c>
    </row>
    <row r="155" spans="1:10" x14ac:dyDescent="0.35">
      <c r="A155" s="1">
        <v>2011</v>
      </c>
      <c r="B155" t="s">
        <v>2</v>
      </c>
      <c r="C155">
        <v>69</v>
      </c>
      <c r="D155">
        <v>93</v>
      </c>
      <c r="E155">
        <v>708</v>
      </c>
      <c r="F155">
        <v>860</v>
      </c>
      <c r="G155" s="45">
        <f t="shared" si="14"/>
        <v>0.82325581395348835</v>
      </c>
      <c r="H155" s="41">
        <f t="shared" si="15"/>
        <v>0.40396368981612807</v>
      </c>
      <c r="I155" s="45">
        <f t="shared" si="12"/>
        <v>0.42592592592592593</v>
      </c>
      <c r="J155" s="45">
        <f t="shared" si="13"/>
        <v>2.1962236109797861E-2</v>
      </c>
    </row>
    <row r="156" spans="1:10" x14ac:dyDescent="0.35">
      <c r="A156" s="1">
        <v>2011</v>
      </c>
      <c r="B156" t="s">
        <v>3</v>
      </c>
      <c r="C156">
        <v>90</v>
      </c>
      <c r="D156">
        <v>72</v>
      </c>
      <c r="E156">
        <v>875</v>
      </c>
      <c r="F156">
        <v>737</v>
      </c>
      <c r="G156" s="45">
        <f t="shared" si="14"/>
        <v>1.1872455902306649</v>
      </c>
      <c r="H156" s="41">
        <f t="shared" si="15"/>
        <v>0.58498510842806428</v>
      </c>
      <c r="I156" s="45">
        <f t="shared" si="12"/>
        <v>0.55555555555555558</v>
      </c>
      <c r="J156" s="45">
        <f t="shared" si="13"/>
        <v>2.9429552872508702E-2</v>
      </c>
    </row>
    <row r="157" spans="1:10" x14ac:dyDescent="0.35">
      <c r="A157" s="1">
        <v>2011</v>
      </c>
      <c r="B157" t="s">
        <v>4</v>
      </c>
      <c r="C157">
        <v>71</v>
      </c>
      <c r="D157">
        <v>91</v>
      </c>
      <c r="E157">
        <v>654</v>
      </c>
      <c r="F157">
        <v>756</v>
      </c>
      <c r="G157" s="45">
        <f t="shared" si="14"/>
        <v>0.86507936507936511</v>
      </c>
      <c r="H157" s="41">
        <f t="shared" si="15"/>
        <v>0.42803617105594988</v>
      </c>
      <c r="I157" s="45">
        <f t="shared" ref="I157:I220" si="16">C157/162</f>
        <v>0.43827160493827161</v>
      </c>
      <c r="J157" s="45">
        <f t="shared" ref="J157:J220" si="17">ABS(H157-I157)</f>
        <v>1.0235433882321732E-2</v>
      </c>
    </row>
    <row r="158" spans="1:10" x14ac:dyDescent="0.35">
      <c r="A158" s="1">
        <v>2011</v>
      </c>
      <c r="B158" t="s">
        <v>5</v>
      </c>
      <c r="C158">
        <v>79</v>
      </c>
      <c r="D158">
        <v>83</v>
      </c>
      <c r="E158">
        <v>654</v>
      </c>
      <c r="F158">
        <v>706</v>
      </c>
      <c r="G158" s="45">
        <f t="shared" si="14"/>
        <v>0.92634560906515584</v>
      </c>
      <c r="H158" s="41">
        <f t="shared" si="15"/>
        <v>0.46182052190137257</v>
      </c>
      <c r="I158" s="45">
        <f t="shared" si="16"/>
        <v>0.48765432098765432</v>
      </c>
      <c r="J158" s="45">
        <f t="shared" si="17"/>
        <v>2.583379908628175E-2</v>
      </c>
    </row>
    <row r="159" spans="1:10" x14ac:dyDescent="0.35">
      <c r="A159" s="1">
        <v>2011</v>
      </c>
      <c r="B159" t="s">
        <v>6</v>
      </c>
      <c r="C159">
        <v>79</v>
      </c>
      <c r="D159">
        <v>83</v>
      </c>
      <c r="E159">
        <v>735</v>
      </c>
      <c r="F159">
        <v>720</v>
      </c>
      <c r="G159" s="45">
        <f t="shared" si="14"/>
        <v>1.0208333333333333</v>
      </c>
      <c r="H159" s="41">
        <f t="shared" si="15"/>
        <v>0.51030818278427204</v>
      </c>
      <c r="I159" s="45">
        <f t="shared" si="16"/>
        <v>0.48765432098765432</v>
      </c>
      <c r="J159" s="45">
        <f t="shared" si="17"/>
        <v>2.2653861796617714E-2</v>
      </c>
    </row>
    <row r="160" spans="1:10" x14ac:dyDescent="0.35">
      <c r="A160" s="1">
        <v>2011</v>
      </c>
      <c r="B160" t="s">
        <v>7</v>
      </c>
      <c r="C160">
        <v>80</v>
      </c>
      <c r="D160">
        <v>82</v>
      </c>
      <c r="E160">
        <v>704</v>
      </c>
      <c r="F160">
        <v>760</v>
      </c>
      <c r="G160" s="45">
        <f t="shared" si="14"/>
        <v>0.9263157894736842</v>
      </c>
      <c r="H160" s="41">
        <f t="shared" si="15"/>
        <v>0.46180452024569141</v>
      </c>
      <c r="I160" s="45">
        <f t="shared" si="16"/>
        <v>0.49382716049382713</v>
      </c>
      <c r="J160" s="45">
        <f t="shared" si="17"/>
        <v>3.2022640248135725E-2</v>
      </c>
    </row>
    <row r="161" spans="1:10" x14ac:dyDescent="0.35">
      <c r="A161" s="1">
        <v>2011</v>
      </c>
      <c r="B161" t="s">
        <v>8</v>
      </c>
      <c r="C161">
        <v>73</v>
      </c>
      <c r="D161">
        <v>89</v>
      </c>
      <c r="E161">
        <v>735</v>
      </c>
      <c r="F161">
        <v>774</v>
      </c>
      <c r="G161" s="45">
        <f t="shared" si="14"/>
        <v>0.94961240310077522</v>
      </c>
      <c r="H161" s="41">
        <f t="shared" si="15"/>
        <v>0.47417232144973104</v>
      </c>
      <c r="I161" s="45">
        <f t="shared" si="16"/>
        <v>0.45061728395061729</v>
      </c>
      <c r="J161" s="45">
        <f t="shared" si="17"/>
        <v>2.3555037499113751E-2</v>
      </c>
    </row>
    <row r="162" spans="1:10" x14ac:dyDescent="0.35">
      <c r="A162" s="1">
        <v>2011</v>
      </c>
      <c r="B162" t="s">
        <v>9</v>
      </c>
      <c r="C162">
        <v>95</v>
      </c>
      <c r="D162">
        <v>67</v>
      </c>
      <c r="E162">
        <v>787</v>
      </c>
      <c r="F162">
        <v>711</v>
      </c>
      <c r="G162" s="45">
        <f t="shared" si="14"/>
        <v>1.1068917018284108</v>
      </c>
      <c r="H162" s="41">
        <f t="shared" si="15"/>
        <v>0.55060405906355292</v>
      </c>
      <c r="I162" s="45">
        <f t="shared" si="16"/>
        <v>0.5864197530864198</v>
      </c>
      <c r="J162" s="45">
        <f t="shared" si="17"/>
        <v>3.5815694022866884E-2</v>
      </c>
    </row>
    <row r="163" spans="1:10" x14ac:dyDescent="0.35">
      <c r="A163" s="1">
        <v>2011</v>
      </c>
      <c r="B163" t="s">
        <v>43</v>
      </c>
      <c r="C163">
        <v>72</v>
      </c>
      <c r="D163">
        <v>90</v>
      </c>
      <c r="E163">
        <v>625</v>
      </c>
      <c r="F163">
        <v>702</v>
      </c>
      <c r="G163" s="45">
        <f t="shared" si="14"/>
        <v>0.8903133903133903</v>
      </c>
      <c r="H163" s="41">
        <f t="shared" si="15"/>
        <v>0.44216909338498056</v>
      </c>
      <c r="I163" s="45">
        <f t="shared" si="16"/>
        <v>0.44444444444444442</v>
      </c>
      <c r="J163" s="45">
        <f t="shared" si="17"/>
        <v>2.2753510594638593E-3</v>
      </c>
    </row>
    <row r="164" spans="1:10" x14ac:dyDescent="0.35">
      <c r="A164" s="1">
        <v>2011</v>
      </c>
      <c r="B164" t="s">
        <v>10</v>
      </c>
      <c r="C164">
        <v>56</v>
      </c>
      <c r="D164">
        <v>106</v>
      </c>
      <c r="E164">
        <v>615</v>
      </c>
      <c r="F164">
        <v>796</v>
      </c>
      <c r="G164" s="45">
        <f t="shared" si="14"/>
        <v>0.77261306532663321</v>
      </c>
      <c r="H164" s="41">
        <f t="shared" si="15"/>
        <v>0.37379884784269468</v>
      </c>
      <c r="I164" s="45">
        <f t="shared" si="16"/>
        <v>0.34567901234567899</v>
      </c>
      <c r="J164" s="45">
        <f t="shared" si="17"/>
        <v>2.8119835497015688E-2</v>
      </c>
    </row>
    <row r="165" spans="1:10" x14ac:dyDescent="0.35">
      <c r="A165" s="1">
        <v>2011</v>
      </c>
      <c r="B165" t="s">
        <v>11</v>
      </c>
      <c r="C165">
        <v>71</v>
      </c>
      <c r="D165">
        <v>91</v>
      </c>
      <c r="E165">
        <v>730</v>
      </c>
      <c r="F165">
        <v>762</v>
      </c>
      <c r="G165" s="45">
        <f t="shared" si="14"/>
        <v>0.95800524934383202</v>
      </c>
      <c r="H165" s="41">
        <f t="shared" si="15"/>
        <v>0.47856214033751698</v>
      </c>
      <c r="I165" s="45">
        <f t="shared" si="16"/>
        <v>0.43827160493827161</v>
      </c>
      <c r="J165" s="45">
        <f t="shared" si="17"/>
        <v>4.0290535399245375E-2</v>
      </c>
    </row>
    <row r="166" spans="1:10" x14ac:dyDescent="0.35">
      <c r="A166" s="1">
        <v>2011</v>
      </c>
      <c r="B166" t="s">
        <v>12</v>
      </c>
      <c r="C166">
        <v>86</v>
      </c>
      <c r="D166">
        <v>76</v>
      </c>
      <c r="E166">
        <v>667</v>
      </c>
      <c r="F166">
        <v>633</v>
      </c>
      <c r="G166" s="45">
        <f t="shared" si="14"/>
        <v>1.0537124802527646</v>
      </c>
      <c r="H166" s="41">
        <f t="shared" si="15"/>
        <v>0.52613596853276701</v>
      </c>
      <c r="I166" s="45">
        <f t="shared" si="16"/>
        <v>0.53086419753086422</v>
      </c>
      <c r="J166" s="45">
        <f t="shared" si="17"/>
        <v>4.728228998097217E-3</v>
      </c>
    </row>
    <row r="167" spans="1:10" x14ac:dyDescent="0.35">
      <c r="A167" s="1">
        <v>2011</v>
      </c>
      <c r="B167" t="s">
        <v>13</v>
      </c>
      <c r="C167">
        <v>82</v>
      </c>
      <c r="D167">
        <v>79</v>
      </c>
      <c r="E167">
        <v>644</v>
      </c>
      <c r="F167">
        <v>612</v>
      </c>
      <c r="G167" s="45">
        <f t="shared" si="14"/>
        <v>1.0522875816993464</v>
      </c>
      <c r="H167" s="41">
        <f t="shared" si="15"/>
        <v>0.52546117980944662</v>
      </c>
      <c r="I167" s="45">
        <f t="shared" si="16"/>
        <v>0.50617283950617287</v>
      </c>
      <c r="J167" s="45">
        <f t="shared" si="17"/>
        <v>1.9288340303273754E-2</v>
      </c>
    </row>
    <row r="168" spans="1:10" x14ac:dyDescent="0.35">
      <c r="A168" s="1">
        <v>2011</v>
      </c>
      <c r="B168" t="s">
        <v>15</v>
      </c>
      <c r="C168">
        <v>96</v>
      </c>
      <c r="D168">
        <v>66</v>
      </c>
      <c r="E168">
        <v>721</v>
      </c>
      <c r="F168">
        <v>638</v>
      </c>
      <c r="G168" s="45">
        <f t="shared" si="14"/>
        <v>1.1300940438871474</v>
      </c>
      <c r="H168" s="41">
        <f t="shared" si="15"/>
        <v>0.56084735431040533</v>
      </c>
      <c r="I168" s="45">
        <f t="shared" si="16"/>
        <v>0.59259259259259256</v>
      </c>
      <c r="J168" s="45">
        <f t="shared" si="17"/>
        <v>3.1745238282187227E-2</v>
      </c>
    </row>
    <row r="169" spans="1:10" x14ac:dyDescent="0.35">
      <c r="A169" s="1">
        <v>2011</v>
      </c>
      <c r="B169" t="s">
        <v>16</v>
      </c>
      <c r="C169">
        <v>63</v>
      </c>
      <c r="D169">
        <v>99</v>
      </c>
      <c r="E169">
        <v>619</v>
      </c>
      <c r="F169">
        <v>804</v>
      </c>
      <c r="G169" s="45">
        <f t="shared" si="14"/>
        <v>0.76990049751243783</v>
      </c>
      <c r="H169" s="41">
        <f t="shared" si="15"/>
        <v>0.37215380685465971</v>
      </c>
      <c r="I169" s="45">
        <f t="shared" si="16"/>
        <v>0.3888888888888889</v>
      </c>
      <c r="J169" s="45">
        <f t="shared" si="17"/>
        <v>1.6735082034229187E-2</v>
      </c>
    </row>
    <row r="170" spans="1:10" x14ac:dyDescent="0.35">
      <c r="A170" s="1">
        <v>2011</v>
      </c>
      <c r="B170" t="s">
        <v>17</v>
      </c>
      <c r="C170">
        <v>77</v>
      </c>
      <c r="D170">
        <v>85</v>
      </c>
      <c r="E170">
        <v>718</v>
      </c>
      <c r="F170">
        <v>742</v>
      </c>
      <c r="G170" s="45">
        <f t="shared" si="14"/>
        <v>0.96765498652291104</v>
      </c>
      <c r="H170" s="41">
        <f t="shared" si="15"/>
        <v>0.48356608460089595</v>
      </c>
      <c r="I170" s="45">
        <f t="shared" si="16"/>
        <v>0.47530864197530864</v>
      </c>
      <c r="J170" s="45">
        <f t="shared" si="17"/>
        <v>8.2574426255873079E-3</v>
      </c>
    </row>
    <row r="171" spans="1:10" x14ac:dyDescent="0.35">
      <c r="A171" s="1">
        <v>2011</v>
      </c>
      <c r="B171" t="s">
        <v>18</v>
      </c>
      <c r="C171">
        <v>97</v>
      </c>
      <c r="D171">
        <v>65</v>
      </c>
      <c r="E171">
        <v>867</v>
      </c>
      <c r="F171">
        <v>657</v>
      </c>
      <c r="G171" s="45">
        <f t="shared" si="14"/>
        <v>1.3196347031963471</v>
      </c>
      <c r="H171" s="41">
        <f t="shared" si="15"/>
        <v>0.63522763572200003</v>
      </c>
      <c r="I171" s="45">
        <f t="shared" si="16"/>
        <v>0.59876543209876543</v>
      </c>
      <c r="J171" s="45">
        <f t="shared" si="17"/>
        <v>3.6462203623234601E-2</v>
      </c>
    </row>
    <row r="172" spans="1:10" x14ac:dyDescent="0.35">
      <c r="A172" s="1">
        <v>2011</v>
      </c>
      <c r="B172" t="s">
        <v>19</v>
      </c>
      <c r="C172">
        <v>74</v>
      </c>
      <c r="D172">
        <v>88</v>
      </c>
      <c r="E172">
        <v>645</v>
      </c>
      <c r="F172">
        <v>679</v>
      </c>
      <c r="G172" s="45">
        <f t="shared" si="14"/>
        <v>0.94992636229749627</v>
      </c>
      <c r="H172" s="41">
        <f t="shared" si="15"/>
        <v>0.47433716504801232</v>
      </c>
      <c r="I172" s="45">
        <f t="shared" si="16"/>
        <v>0.4567901234567901</v>
      </c>
      <c r="J172" s="45">
        <f t="shared" si="17"/>
        <v>1.7547041591222223E-2</v>
      </c>
    </row>
    <row r="173" spans="1:10" x14ac:dyDescent="0.35">
      <c r="A173" s="1">
        <v>2011</v>
      </c>
      <c r="B173" t="s">
        <v>20</v>
      </c>
      <c r="C173">
        <v>102</v>
      </c>
      <c r="D173">
        <v>60</v>
      </c>
      <c r="E173">
        <v>713</v>
      </c>
      <c r="F173">
        <v>529</v>
      </c>
      <c r="G173" s="45">
        <f t="shared" si="14"/>
        <v>1.3478260869565217</v>
      </c>
      <c r="H173" s="41">
        <f t="shared" si="15"/>
        <v>0.64496644295302019</v>
      </c>
      <c r="I173" s="45">
        <f t="shared" si="16"/>
        <v>0.62962962962962965</v>
      </c>
      <c r="J173" s="45">
        <f t="shared" si="17"/>
        <v>1.5336813323390541E-2</v>
      </c>
    </row>
    <row r="174" spans="1:10" x14ac:dyDescent="0.35">
      <c r="A174" s="1">
        <v>2011</v>
      </c>
      <c r="B174" t="s">
        <v>21</v>
      </c>
      <c r="C174">
        <v>72</v>
      </c>
      <c r="D174">
        <v>90</v>
      </c>
      <c r="E174">
        <v>610</v>
      </c>
      <c r="F174">
        <v>712</v>
      </c>
      <c r="G174" s="45">
        <f t="shared" si="14"/>
        <v>0.8567415730337079</v>
      </c>
      <c r="H174" s="41">
        <f t="shared" si="15"/>
        <v>0.4233007676521312</v>
      </c>
      <c r="I174" s="45">
        <f t="shared" si="16"/>
        <v>0.44444444444444442</v>
      </c>
      <c r="J174" s="45">
        <f t="shared" si="17"/>
        <v>2.1143676792313215E-2</v>
      </c>
    </row>
    <row r="175" spans="1:10" x14ac:dyDescent="0.35">
      <c r="A175" s="1">
        <v>2011</v>
      </c>
      <c r="B175" t="s">
        <v>22</v>
      </c>
      <c r="C175">
        <v>71</v>
      </c>
      <c r="D175">
        <v>91</v>
      </c>
      <c r="E175">
        <v>593</v>
      </c>
      <c r="F175">
        <v>611</v>
      </c>
      <c r="G175" s="45">
        <f t="shared" si="14"/>
        <v>0.97054009819967269</v>
      </c>
      <c r="H175" s="41">
        <f t="shared" si="15"/>
        <v>0.48505317461412195</v>
      </c>
      <c r="I175" s="45">
        <f t="shared" si="16"/>
        <v>0.43827160493827161</v>
      </c>
      <c r="J175" s="45">
        <f t="shared" si="17"/>
        <v>4.6781569675850343E-2</v>
      </c>
    </row>
    <row r="176" spans="1:10" x14ac:dyDescent="0.35">
      <c r="A176" s="1">
        <v>2011</v>
      </c>
      <c r="B176" t="s">
        <v>23</v>
      </c>
      <c r="C176">
        <v>67</v>
      </c>
      <c r="D176">
        <v>95</v>
      </c>
      <c r="E176">
        <v>556</v>
      </c>
      <c r="F176">
        <v>675</v>
      </c>
      <c r="G176" s="45">
        <f t="shared" si="14"/>
        <v>0.82370370370370372</v>
      </c>
      <c r="H176" s="41">
        <f t="shared" si="15"/>
        <v>0.40422563389084959</v>
      </c>
      <c r="I176" s="45">
        <f t="shared" si="16"/>
        <v>0.41358024691358025</v>
      </c>
      <c r="J176" s="45">
        <f t="shared" si="17"/>
        <v>9.3546130227306623E-3</v>
      </c>
    </row>
    <row r="177" spans="1:10" x14ac:dyDescent="0.35">
      <c r="A177" s="1">
        <v>2011</v>
      </c>
      <c r="B177" t="s">
        <v>24</v>
      </c>
      <c r="C177">
        <v>86</v>
      </c>
      <c r="D177">
        <v>76</v>
      </c>
      <c r="E177">
        <v>570</v>
      </c>
      <c r="F177">
        <v>578</v>
      </c>
      <c r="G177" s="45">
        <f t="shared" si="14"/>
        <v>0.98615916955017302</v>
      </c>
      <c r="H177" s="41">
        <f t="shared" si="15"/>
        <v>0.4930316972794484</v>
      </c>
      <c r="I177" s="45">
        <f t="shared" si="16"/>
        <v>0.53086419753086422</v>
      </c>
      <c r="J177" s="45">
        <f t="shared" si="17"/>
        <v>3.7832500251415824E-2</v>
      </c>
    </row>
    <row r="178" spans="1:10" x14ac:dyDescent="0.35">
      <c r="A178" s="1">
        <v>2011</v>
      </c>
      <c r="B178" t="s">
        <v>25</v>
      </c>
      <c r="C178">
        <v>90</v>
      </c>
      <c r="D178">
        <v>72</v>
      </c>
      <c r="E178">
        <v>762</v>
      </c>
      <c r="F178">
        <v>692</v>
      </c>
      <c r="G178" s="45">
        <f t="shared" si="14"/>
        <v>1.1011560693641618</v>
      </c>
      <c r="H178" s="41">
        <f t="shared" si="15"/>
        <v>0.54803172793409771</v>
      </c>
      <c r="I178" s="45">
        <f t="shared" si="16"/>
        <v>0.55555555555555558</v>
      </c>
      <c r="J178" s="45">
        <f t="shared" si="17"/>
        <v>7.5238276214578681E-3</v>
      </c>
    </row>
    <row r="179" spans="1:10" x14ac:dyDescent="0.35">
      <c r="A179" s="1">
        <v>2011</v>
      </c>
      <c r="B179" t="s">
        <v>26</v>
      </c>
      <c r="C179">
        <v>91</v>
      </c>
      <c r="D179">
        <v>71</v>
      </c>
      <c r="E179">
        <v>707</v>
      </c>
      <c r="F179">
        <v>614</v>
      </c>
      <c r="G179" s="45">
        <f t="shared" si="14"/>
        <v>1.1514657980456027</v>
      </c>
      <c r="H179" s="41">
        <f t="shared" si="15"/>
        <v>0.57005400042196741</v>
      </c>
      <c r="I179" s="45">
        <f t="shared" si="16"/>
        <v>0.56172839506172845</v>
      </c>
      <c r="J179" s="45">
        <f t="shared" si="17"/>
        <v>8.3256053602389635E-3</v>
      </c>
    </row>
    <row r="180" spans="1:10" x14ac:dyDescent="0.35">
      <c r="A180" s="1">
        <v>2011</v>
      </c>
      <c r="B180" t="s">
        <v>27</v>
      </c>
      <c r="C180">
        <v>96</v>
      </c>
      <c r="D180">
        <v>66</v>
      </c>
      <c r="E180">
        <v>855</v>
      </c>
      <c r="F180">
        <v>677</v>
      </c>
      <c r="G180" s="45">
        <f t="shared" si="14"/>
        <v>1.2629246676514032</v>
      </c>
      <c r="H180" s="41">
        <f t="shared" si="15"/>
        <v>0.61464038461215087</v>
      </c>
      <c r="I180" s="45">
        <f t="shared" si="16"/>
        <v>0.59259259259259256</v>
      </c>
      <c r="J180" s="45">
        <f t="shared" si="17"/>
        <v>2.204779201955831E-2</v>
      </c>
    </row>
    <row r="181" spans="1:10" x14ac:dyDescent="0.35">
      <c r="A181" s="1">
        <v>2011</v>
      </c>
      <c r="B181" t="s">
        <v>28</v>
      </c>
      <c r="C181">
        <v>81</v>
      </c>
      <c r="D181">
        <v>81</v>
      </c>
      <c r="E181">
        <v>743</v>
      </c>
      <c r="F181">
        <v>761</v>
      </c>
      <c r="G181" s="45">
        <f t="shared" si="14"/>
        <v>0.97634691195795009</v>
      </c>
      <c r="H181" s="41">
        <f t="shared" si="15"/>
        <v>0.48803362889751323</v>
      </c>
      <c r="I181" s="45">
        <f t="shared" si="16"/>
        <v>0.5</v>
      </c>
      <c r="J181" s="45">
        <f t="shared" si="17"/>
        <v>1.1966371102486772E-2</v>
      </c>
    </row>
    <row r="182" spans="1:10" x14ac:dyDescent="0.35">
      <c r="A182" s="1">
        <v>2011</v>
      </c>
      <c r="B182" t="s">
        <v>29</v>
      </c>
      <c r="C182">
        <v>80</v>
      </c>
      <c r="D182">
        <v>81</v>
      </c>
      <c r="E182">
        <v>624</v>
      </c>
      <c r="F182">
        <v>643</v>
      </c>
      <c r="G182" s="45">
        <f t="shared" si="14"/>
        <v>0.97045101088646968</v>
      </c>
      <c r="H182" s="41">
        <f t="shared" si="15"/>
        <v>0.48500731790863516</v>
      </c>
      <c r="I182" s="45">
        <f t="shared" si="16"/>
        <v>0.49382716049382713</v>
      </c>
      <c r="J182" s="45">
        <f t="shared" si="17"/>
        <v>8.8198425851919726E-3</v>
      </c>
    </row>
    <row r="183" spans="1:10" x14ac:dyDescent="0.35">
      <c r="A183" s="1">
        <v>2010</v>
      </c>
      <c r="B183" t="s">
        <v>0</v>
      </c>
      <c r="C183">
        <v>65</v>
      </c>
      <c r="D183">
        <v>97</v>
      </c>
      <c r="E183">
        <v>713</v>
      </c>
      <c r="F183">
        <v>836</v>
      </c>
      <c r="G183" s="45">
        <f t="shared" si="14"/>
        <v>0.85287081339712922</v>
      </c>
      <c r="H183" s="41">
        <f t="shared" si="15"/>
        <v>0.42109147535959379</v>
      </c>
      <c r="I183" s="45">
        <f t="shared" si="16"/>
        <v>0.40123456790123457</v>
      </c>
      <c r="J183" s="45">
        <f t="shared" si="17"/>
        <v>1.9856907458359219E-2</v>
      </c>
    </row>
    <row r="184" spans="1:10" x14ac:dyDescent="0.35">
      <c r="A184" s="1">
        <v>2010</v>
      </c>
      <c r="B184" t="s">
        <v>1</v>
      </c>
      <c r="C184">
        <v>91</v>
      </c>
      <c r="D184">
        <v>71</v>
      </c>
      <c r="E184">
        <v>738</v>
      </c>
      <c r="F184">
        <v>629</v>
      </c>
      <c r="G184" s="45">
        <f t="shared" si="14"/>
        <v>1.1732909379968204</v>
      </c>
      <c r="H184" s="41">
        <f t="shared" si="15"/>
        <v>0.57923289215503815</v>
      </c>
      <c r="I184" s="45">
        <f t="shared" si="16"/>
        <v>0.56172839506172845</v>
      </c>
      <c r="J184" s="45">
        <f t="shared" si="17"/>
        <v>1.7504497093309701E-2</v>
      </c>
    </row>
    <row r="185" spans="1:10" x14ac:dyDescent="0.35">
      <c r="A185" s="1">
        <v>2010</v>
      </c>
      <c r="B185" t="s">
        <v>2</v>
      </c>
      <c r="C185">
        <v>66</v>
      </c>
      <c r="D185">
        <v>96</v>
      </c>
      <c r="E185">
        <v>613</v>
      </c>
      <c r="F185">
        <v>785</v>
      </c>
      <c r="G185" s="45">
        <f t="shared" si="14"/>
        <v>0.78089171974522298</v>
      </c>
      <c r="H185" s="41">
        <f t="shared" si="15"/>
        <v>0.37880168630052202</v>
      </c>
      <c r="I185" s="45">
        <f t="shared" si="16"/>
        <v>0.40740740740740738</v>
      </c>
      <c r="J185" s="45">
        <f t="shared" si="17"/>
        <v>2.8605721106885362E-2</v>
      </c>
    </row>
    <row r="186" spans="1:10" x14ac:dyDescent="0.35">
      <c r="A186" s="1">
        <v>2010</v>
      </c>
      <c r="B186" t="s">
        <v>3</v>
      </c>
      <c r="C186">
        <v>89</v>
      </c>
      <c r="D186">
        <v>73</v>
      </c>
      <c r="E186">
        <v>818</v>
      </c>
      <c r="F186">
        <v>744</v>
      </c>
      <c r="G186" s="45">
        <f t="shared" si="14"/>
        <v>1.0994623655913978</v>
      </c>
      <c r="H186" s="41">
        <f t="shared" si="15"/>
        <v>0.54726906907889361</v>
      </c>
      <c r="I186" s="45">
        <f t="shared" si="16"/>
        <v>0.54938271604938271</v>
      </c>
      <c r="J186" s="45">
        <f t="shared" si="17"/>
        <v>2.1136469704891026E-3</v>
      </c>
    </row>
    <row r="187" spans="1:10" x14ac:dyDescent="0.35">
      <c r="A187" s="1">
        <v>2010</v>
      </c>
      <c r="B187" t="s">
        <v>4</v>
      </c>
      <c r="C187">
        <v>75</v>
      </c>
      <c r="D187">
        <v>87</v>
      </c>
      <c r="E187">
        <v>685</v>
      </c>
      <c r="F187">
        <v>767</v>
      </c>
      <c r="G187" s="45">
        <f t="shared" si="14"/>
        <v>0.89308996088657111</v>
      </c>
      <c r="H187" s="41">
        <f t="shared" si="15"/>
        <v>0.44370570980620588</v>
      </c>
      <c r="I187" s="45">
        <f t="shared" si="16"/>
        <v>0.46296296296296297</v>
      </c>
      <c r="J187" s="45">
        <f t="shared" si="17"/>
        <v>1.9257253156757081E-2</v>
      </c>
    </row>
    <row r="188" spans="1:10" x14ac:dyDescent="0.35">
      <c r="A188" s="1">
        <v>2010</v>
      </c>
      <c r="B188" t="s">
        <v>5</v>
      </c>
      <c r="C188">
        <v>88</v>
      </c>
      <c r="D188">
        <v>74</v>
      </c>
      <c r="E188">
        <v>752</v>
      </c>
      <c r="F188">
        <v>704</v>
      </c>
      <c r="G188" s="45">
        <f t="shared" si="14"/>
        <v>1.0681818181818181</v>
      </c>
      <c r="H188" s="41">
        <f t="shared" si="15"/>
        <v>0.53293124246079615</v>
      </c>
      <c r="I188" s="45">
        <f t="shared" si="16"/>
        <v>0.54320987654320985</v>
      </c>
      <c r="J188" s="45">
        <f t="shared" si="17"/>
        <v>1.0278634082413696E-2</v>
      </c>
    </row>
    <row r="189" spans="1:10" x14ac:dyDescent="0.35">
      <c r="A189" s="1">
        <v>2010</v>
      </c>
      <c r="B189" t="s">
        <v>6</v>
      </c>
      <c r="C189">
        <v>91</v>
      </c>
      <c r="D189">
        <v>71</v>
      </c>
      <c r="E189">
        <v>790</v>
      </c>
      <c r="F189">
        <v>685</v>
      </c>
      <c r="G189" s="45">
        <f t="shared" si="14"/>
        <v>1.1532846715328466</v>
      </c>
      <c r="H189" s="41">
        <f t="shared" si="15"/>
        <v>0.57082752155123129</v>
      </c>
      <c r="I189" s="45">
        <f t="shared" si="16"/>
        <v>0.56172839506172845</v>
      </c>
      <c r="J189" s="45">
        <f t="shared" si="17"/>
        <v>9.0991264895028401E-3</v>
      </c>
    </row>
    <row r="190" spans="1:10" x14ac:dyDescent="0.35">
      <c r="A190" s="1">
        <v>2010</v>
      </c>
      <c r="B190" t="s">
        <v>7</v>
      </c>
      <c r="C190">
        <v>69</v>
      </c>
      <c r="D190">
        <v>93</v>
      </c>
      <c r="E190">
        <v>646</v>
      </c>
      <c r="F190">
        <v>752</v>
      </c>
      <c r="G190" s="45">
        <f t="shared" si="14"/>
        <v>0.85904255319148937</v>
      </c>
      <c r="H190" s="41">
        <f t="shared" si="15"/>
        <v>0.42461081378075333</v>
      </c>
      <c r="I190" s="45">
        <f t="shared" si="16"/>
        <v>0.42592592592592593</v>
      </c>
      <c r="J190" s="45">
        <f t="shared" si="17"/>
        <v>1.3151121451726033E-3</v>
      </c>
    </row>
    <row r="191" spans="1:10" x14ac:dyDescent="0.35">
      <c r="A191" s="1">
        <v>2010</v>
      </c>
      <c r="B191" t="s">
        <v>8</v>
      </c>
      <c r="C191">
        <v>83</v>
      </c>
      <c r="D191">
        <v>79</v>
      </c>
      <c r="E191">
        <v>770</v>
      </c>
      <c r="F191">
        <v>717</v>
      </c>
      <c r="G191" s="45">
        <f t="shared" ref="G191:G254" si="18">E191/F191</f>
        <v>1.0739191073919108</v>
      </c>
      <c r="H191" s="41">
        <f t="shared" si="15"/>
        <v>0.53559701135241644</v>
      </c>
      <c r="I191" s="45">
        <f t="shared" si="16"/>
        <v>0.51234567901234573</v>
      </c>
      <c r="J191" s="45">
        <f t="shared" si="17"/>
        <v>2.3251332340070707E-2</v>
      </c>
    </row>
    <row r="192" spans="1:10" x14ac:dyDescent="0.35">
      <c r="A192" s="1">
        <v>2010</v>
      </c>
      <c r="B192" t="s">
        <v>9</v>
      </c>
      <c r="C192">
        <v>81</v>
      </c>
      <c r="D192">
        <v>81</v>
      </c>
      <c r="E192">
        <v>751</v>
      </c>
      <c r="F192">
        <v>743</v>
      </c>
      <c r="G192" s="45">
        <f t="shared" si="18"/>
        <v>1.0107671601615074</v>
      </c>
      <c r="H192" s="41">
        <f t="shared" si="15"/>
        <v>0.50535459880829714</v>
      </c>
      <c r="I192" s="45">
        <f t="shared" si="16"/>
        <v>0.5</v>
      </c>
      <c r="J192" s="45">
        <f t="shared" si="17"/>
        <v>5.3545988082971396E-3</v>
      </c>
    </row>
    <row r="193" spans="1:10" x14ac:dyDescent="0.35">
      <c r="A193" s="1">
        <v>2010</v>
      </c>
      <c r="B193" t="s">
        <v>43</v>
      </c>
      <c r="C193">
        <v>80</v>
      </c>
      <c r="D193">
        <v>82</v>
      </c>
      <c r="E193">
        <v>719</v>
      </c>
      <c r="F193">
        <v>717</v>
      </c>
      <c r="G193" s="45">
        <f t="shared" si="18"/>
        <v>1.0027894002789399</v>
      </c>
      <c r="H193" s="41">
        <f t="shared" si="15"/>
        <v>0.5013927549585373</v>
      </c>
      <c r="I193" s="45">
        <f t="shared" si="16"/>
        <v>0.49382716049382713</v>
      </c>
      <c r="J193" s="45">
        <f t="shared" si="17"/>
        <v>7.5655944647101681E-3</v>
      </c>
    </row>
    <row r="194" spans="1:10" x14ac:dyDescent="0.35">
      <c r="A194" s="1">
        <v>2010</v>
      </c>
      <c r="B194" t="s">
        <v>10</v>
      </c>
      <c r="C194">
        <v>76</v>
      </c>
      <c r="D194">
        <v>86</v>
      </c>
      <c r="E194">
        <v>611</v>
      </c>
      <c r="F194">
        <v>729</v>
      </c>
      <c r="G194" s="45">
        <f t="shared" si="18"/>
        <v>0.83813443072702332</v>
      </c>
      <c r="H194" s="41">
        <f t="shared" si="15"/>
        <v>0.41261790393495745</v>
      </c>
      <c r="I194" s="45">
        <f t="shared" si="16"/>
        <v>0.46913580246913578</v>
      </c>
      <c r="J194" s="45">
        <f t="shared" si="17"/>
        <v>5.6517898534178324E-2</v>
      </c>
    </row>
    <row r="195" spans="1:10" x14ac:dyDescent="0.35">
      <c r="A195" s="1">
        <v>2010</v>
      </c>
      <c r="B195" t="s">
        <v>11</v>
      </c>
      <c r="C195">
        <v>67</v>
      </c>
      <c r="D195">
        <v>95</v>
      </c>
      <c r="E195">
        <v>676</v>
      </c>
      <c r="F195">
        <v>845</v>
      </c>
      <c r="G195" s="45">
        <f t="shared" si="18"/>
        <v>0.8</v>
      </c>
      <c r="H195" s="41">
        <f t="shared" si="15"/>
        <v>0.39024390243902446</v>
      </c>
      <c r="I195" s="45">
        <f t="shared" si="16"/>
        <v>0.41358024691358025</v>
      </c>
      <c r="J195" s="45">
        <f t="shared" si="17"/>
        <v>2.3336344474555792E-2</v>
      </c>
    </row>
    <row r="196" spans="1:10" x14ac:dyDescent="0.35">
      <c r="A196" s="1">
        <v>2010</v>
      </c>
      <c r="B196" t="s">
        <v>12</v>
      </c>
      <c r="C196">
        <v>80</v>
      </c>
      <c r="D196">
        <v>82</v>
      </c>
      <c r="E196">
        <v>681</v>
      </c>
      <c r="F196">
        <v>702</v>
      </c>
      <c r="G196" s="45">
        <f t="shared" si="18"/>
        <v>0.97008547008547008</v>
      </c>
      <c r="H196" s="41">
        <f t="shared" ref="H196:H259" si="19">(G196^$G$1)/((G196^$G$1)+1)</f>
        <v>0.48481911840805381</v>
      </c>
      <c r="I196" s="45">
        <f t="shared" si="16"/>
        <v>0.49382716049382713</v>
      </c>
      <c r="J196" s="45">
        <f t="shared" si="17"/>
        <v>9.0080420857733268E-3</v>
      </c>
    </row>
    <row r="197" spans="1:10" x14ac:dyDescent="0.35">
      <c r="A197" s="1">
        <v>2010</v>
      </c>
      <c r="B197" t="s">
        <v>13</v>
      </c>
      <c r="C197">
        <v>80</v>
      </c>
      <c r="D197">
        <v>82</v>
      </c>
      <c r="E197">
        <v>667</v>
      </c>
      <c r="F197">
        <v>692</v>
      </c>
      <c r="G197" s="45">
        <f t="shared" si="18"/>
        <v>0.96387283236994215</v>
      </c>
      <c r="H197" s="41">
        <f t="shared" si="19"/>
        <v>0.48161034389062873</v>
      </c>
      <c r="I197" s="45">
        <f t="shared" si="16"/>
        <v>0.49382716049382713</v>
      </c>
      <c r="J197" s="45">
        <f t="shared" si="17"/>
        <v>1.2216816603198399E-2</v>
      </c>
    </row>
    <row r="198" spans="1:10" x14ac:dyDescent="0.35">
      <c r="A198" s="1">
        <v>2010</v>
      </c>
      <c r="B198" t="s">
        <v>15</v>
      </c>
      <c r="C198">
        <v>77</v>
      </c>
      <c r="D198">
        <v>85</v>
      </c>
      <c r="E198">
        <v>750</v>
      </c>
      <c r="F198">
        <v>804</v>
      </c>
      <c r="G198" s="45">
        <f t="shared" si="18"/>
        <v>0.93283582089552242</v>
      </c>
      <c r="H198" s="41">
        <f t="shared" si="19"/>
        <v>0.46529287394657692</v>
      </c>
      <c r="I198" s="45">
        <f t="shared" si="16"/>
        <v>0.47530864197530864</v>
      </c>
      <c r="J198" s="45">
        <f t="shared" si="17"/>
        <v>1.001576802873172E-2</v>
      </c>
    </row>
    <row r="199" spans="1:10" x14ac:dyDescent="0.35">
      <c r="A199" s="1">
        <v>2010</v>
      </c>
      <c r="B199" t="s">
        <v>16</v>
      </c>
      <c r="C199">
        <v>94</v>
      </c>
      <c r="D199">
        <v>68</v>
      </c>
      <c r="E199">
        <v>781</v>
      </c>
      <c r="F199">
        <v>671</v>
      </c>
      <c r="G199" s="45">
        <f t="shared" si="18"/>
        <v>1.1639344262295082</v>
      </c>
      <c r="H199" s="41">
        <f t="shared" si="19"/>
        <v>0.57532526820360641</v>
      </c>
      <c r="I199" s="45">
        <f t="shared" si="16"/>
        <v>0.58024691358024694</v>
      </c>
      <c r="J199" s="45">
        <f t="shared" si="17"/>
        <v>4.9216453766405266E-3</v>
      </c>
    </row>
    <row r="200" spans="1:10" x14ac:dyDescent="0.35">
      <c r="A200" s="1">
        <v>2010</v>
      </c>
      <c r="B200" t="s">
        <v>17</v>
      </c>
      <c r="C200">
        <v>79</v>
      </c>
      <c r="D200">
        <v>83</v>
      </c>
      <c r="E200">
        <v>656</v>
      </c>
      <c r="F200">
        <v>652</v>
      </c>
      <c r="G200" s="45">
        <f t="shared" si="18"/>
        <v>1.0061349693251533</v>
      </c>
      <c r="H200" s="41">
        <f t="shared" si="19"/>
        <v>0.50305807537641445</v>
      </c>
      <c r="I200" s="45">
        <f t="shared" si="16"/>
        <v>0.48765432098765432</v>
      </c>
      <c r="J200" s="45">
        <f t="shared" si="17"/>
        <v>1.5403754388760127E-2</v>
      </c>
    </row>
    <row r="201" spans="1:10" x14ac:dyDescent="0.35">
      <c r="A201" s="1">
        <v>2010</v>
      </c>
      <c r="B201" t="s">
        <v>18</v>
      </c>
      <c r="C201">
        <v>95</v>
      </c>
      <c r="D201">
        <v>67</v>
      </c>
      <c r="E201">
        <v>859</v>
      </c>
      <c r="F201">
        <v>693</v>
      </c>
      <c r="G201" s="45">
        <f t="shared" si="18"/>
        <v>1.2395382395382395</v>
      </c>
      <c r="H201" s="41">
        <f t="shared" si="19"/>
        <v>0.6057489758892729</v>
      </c>
      <c r="I201" s="45">
        <f t="shared" si="16"/>
        <v>0.5864197530864198</v>
      </c>
      <c r="J201" s="45">
        <f t="shared" si="17"/>
        <v>1.9329222802853097E-2</v>
      </c>
    </row>
    <row r="202" spans="1:10" x14ac:dyDescent="0.35">
      <c r="A202" s="1">
        <v>2010</v>
      </c>
      <c r="B202" t="s">
        <v>19</v>
      </c>
      <c r="C202">
        <v>81</v>
      </c>
      <c r="D202">
        <v>81</v>
      </c>
      <c r="E202">
        <v>663</v>
      </c>
      <c r="F202">
        <v>626</v>
      </c>
      <c r="G202" s="45">
        <f t="shared" si="18"/>
        <v>1.0591054313099042</v>
      </c>
      <c r="H202" s="41">
        <f t="shared" si="19"/>
        <v>0.52868079067166196</v>
      </c>
      <c r="I202" s="45">
        <f t="shared" si="16"/>
        <v>0.5</v>
      </c>
      <c r="J202" s="45">
        <f t="shared" si="17"/>
        <v>2.868079067166196E-2</v>
      </c>
    </row>
    <row r="203" spans="1:10" x14ac:dyDescent="0.35">
      <c r="A203" s="1">
        <v>2010</v>
      </c>
      <c r="B203" t="s">
        <v>20</v>
      </c>
      <c r="C203">
        <v>97</v>
      </c>
      <c r="D203">
        <v>65</v>
      </c>
      <c r="E203">
        <v>772</v>
      </c>
      <c r="F203">
        <v>640</v>
      </c>
      <c r="G203" s="45">
        <f t="shared" si="18"/>
        <v>1.20625</v>
      </c>
      <c r="H203" s="41">
        <f t="shared" si="19"/>
        <v>0.5926745055609477</v>
      </c>
      <c r="I203" s="45">
        <f t="shared" si="16"/>
        <v>0.59876543209876543</v>
      </c>
      <c r="J203" s="45">
        <f t="shared" si="17"/>
        <v>6.0909265378177313E-3</v>
      </c>
    </row>
    <row r="204" spans="1:10" x14ac:dyDescent="0.35">
      <c r="A204" s="1">
        <v>2010</v>
      </c>
      <c r="B204" t="s">
        <v>21</v>
      </c>
      <c r="C204">
        <v>57</v>
      </c>
      <c r="D204">
        <v>105</v>
      </c>
      <c r="E204">
        <v>587</v>
      </c>
      <c r="F204">
        <v>866</v>
      </c>
      <c r="G204" s="45">
        <f t="shared" si="18"/>
        <v>0.6778290993071594</v>
      </c>
      <c r="H204" s="41">
        <f t="shared" si="19"/>
        <v>0.31481144788835341</v>
      </c>
      <c r="I204" s="45">
        <f t="shared" si="16"/>
        <v>0.35185185185185186</v>
      </c>
      <c r="J204" s="45">
        <f t="shared" si="17"/>
        <v>3.7040403963498447E-2</v>
      </c>
    </row>
    <row r="205" spans="1:10" x14ac:dyDescent="0.35">
      <c r="A205" s="1">
        <v>2010</v>
      </c>
      <c r="B205" t="s">
        <v>22</v>
      </c>
      <c r="C205">
        <v>90</v>
      </c>
      <c r="D205">
        <v>72</v>
      </c>
      <c r="E205">
        <v>665</v>
      </c>
      <c r="F205">
        <v>581</v>
      </c>
      <c r="G205" s="45">
        <f t="shared" si="18"/>
        <v>1.1445783132530121</v>
      </c>
      <c r="H205" s="41">
        <f t="shared" si="19"/>
        <v>0.56711072012064856</v>
      </c>
      <c r="I205" s="45">
        <f t="shared" si="16"/>
        <v>0.55555555555555558</v>
      </c>
      <c r="J205" s="45">
        <f t="shared" si="17"/>
        <v>1.1555164565092979E-2</v>
      </c>
    </row>
    <row r="206" spans="1:10" x14ac:dyDescent="0.35">
      <c r="A206" s="1">
        <v>2010</v>
      </c>
      <c r="B206" t="s">
        <v>23</v>
      </c>
      <c r="C206">
        <v>61</v>
      </c>
      <c r="D206">
        <v>101</v>
      </c>
      <c r="E206">
        <v>513</v>
      </c>
      <c r="F206">
        <v>698</v>
      </c>
      <c r="G206" s="45">
        <f t="shared" si="18"/>
        <v>0.73495702005730656</v>
      </c>
      <c r="H206" s="41">
        <f t="shared" si="19"/>
        <v>0.35071757645864127</v>
      </c>
      <c r="I206" s="45">
        <f t="shared" si="16"/>
        <v>0.37654320987654322</v>
      </c>
      <c r="J206" s="45">
        <f t="shared" si="17"/>
        <v>2.582563341790195E-2</v>
      </c>
    </row>
    <row r="207" spans="1:10" x14ac:dyDescent="0.35">
      <c r="A207" s="1">
        <v>2010</v>
      </c>
      <c r="B207" t="s">
        <v>24</v>
      </c>
      <c r="C207">
        <v>92</v>
      </c>
      <c r="D207">
        <v>70</v>
      </c>
      <c r="E207">
        <v>697</v>
      </c>
      <c r="F207">
        <v>583</v>
      </c>
      <c r="G207" s="45">
        <f t="shared" si="18"/>
        <v>1.195540308747856</v>
      </c>
      <c r="H207" s="41">
        <f t="shared" si="19"/>
        <v>0.58836160436382301</v>
      </c>
      <c r="I207" s="45">
        <f t="shared" si="16"/>
        <v>0.5679012345679012</v>
      </c>
      <c r="J207" s="45">
        <f t="shared" si="17"/>
        <v>2.0460369795921807E-2</v>
      </c>
    </row>
    <row r="208" spans="1:10" x14ac:dyDescent="0.35">
      <c r="A208" s="1">
        <v>2010</v>
      </c>
      <c r="B208" t="s">
        <v>25</v>
      </c>
      <c r="C208">
        <v>86</v>
      </c>
      <c r="D208">
        <v>76</v>
      </c>
      <c r="E208">
        <v>736</v>
      </c>
      <c r="F208">
        <v>641</v>
      </c>
      <c r="G208" s="45">
        <f t="shared" si="18"/>
        <v>1.1482059282371295</v>
      </c>
      <c r="H208" s="41">
        <f t="shared" si="19"/>
        <v>0.56866374056900393</v>
      </c>
      <c r="I208" s="45">
        <f t="shared" si="16"/>
        <v>0.53086419753086422</v>
      </c>
      <c r="J208" s="45">
        <f t="shared" si="17"/>
        <v>3.7799543038139705E-2</v>
      </c>
    </row>
    <row r="209" spans="1:10" x14ac:dyDescent="0.35">
      <c r="A209" s="1">
        <v>2010</v>
      </c>
      <c r="B209" t="s">
        <v>26</v>
      </c>
      <c r="C209">
        <v>96</v>
      </c>
      <c r="D209">
        <v>66</v>
      </c>
      <c r="E209">
        <v>802</v>
      </c>
      <c r="F209">
        <v>649</v>
      </c>
      <c r="G209" s="45">
        <f t="shared" si="18"/>
        <v>1.2357473035439137</v>
      </c>
      <c r="H209" s="41">
        <f t="shared" si="19"/>
        <v>0.60428502308801635</v>
      </c>
      <c r="I209" s="45">
        <f t="shared" si="16"/>
        <v>0.59259259259259256</v>
      </c>
      <c r="J209" s="45">
        <f t="shared" si="17"/>
        <v>1.1692430495423789E-2</v>
      </c>
    </row>
    <row r="210" spans="1:10" x14ac:dyDescent="0.35">
      <c r="A210" s="1">
        <v>2010</v>
      </c>
      <c r="B210" t="s">
        <v>27</v>
      </c>
      <c r="C210">
        <v>90</v>
      </c>
      <c r="D210">
        <v>72</v>
      </c>
      <c r="E210">
        <v>787</v>
      </c>
      <c r="F210">
        <v>687</v>
      </c>
      <c r="G210" s="45">
        <f t="shared" si="18"/>
        <v>1.1455604075691412</v>
      </c>
      <c r="H210" s="41">
        <f t="shared" si="19"/>
        <v>0.56753178208767585</v>
      </c>
      <c r="I210" s="45">
        <f t="shared" si="16"/>
        <v>0.55555555555555558</v>
      </c>
      <c r="J210" s="45">
        <f t="shared" si="17"/>
        <v>1.1976226532120271E-2</v>
      </c>
    </row>
    <row r="211" spans="1:10" x14ac:dyDescent="0.35">
      <c r="A211" s="1">
        <v>2010</v>
      </c>
      <c r="B211" t="s">
        <v>28</v>
      </c>
      <c r="C211">
        <v>85</v>
      </c>
      <c r="D211">
        <v>77</v>
      </c>
      <c r="E211">
        <v>755</v>
      </c>
      <c r="F211">
        <v>728</v>
      </c>
      <c r="G211" s="45">
        <f t="shared" si="18"/>
        <v>1.0370879120879122</v>
      </c>
      <c r="H211" s="41">
        <f t="shared" si="19"/>
        <v>0.51820030563386299</v>
      </c>
      <c r="I211" s="45">
        <f t="shared" si="16"/>
        <v>0.52469135802469136</v>
      </c>
      <c r="J211" s="45">
        <f t="shared" si="17"/>
        <v>6.4910523908283668E-3</v>
      </c>
    </row>
    <row r="212" spans="1:10" x14ac:dyDescent="0.35">
      <c r="A212" s="1">
        <v>2010</v>
      </c>
      <c r="B212" t="s">
        <v>29</v>
      </c>
      <c r="C212">
        <v>69</v>
      </c>
      <c r="D212">
        <v>93</v>
      </c>
      <c r="E212">
        <v>655</v>
      </c>
      <c r="F212">
        <v>742</v>
      </c>
      <c r="G212" s="45">
        <f t="shared" si="18"/>
        <v>0.88274932614555257</v>
      </c>
      <c r="H212" s="41">
        <f t="shared" si="19"/>
        <v>0.43796428910492058</v>
      </c>
      <c r="I212" s="45">
        <f t="shared" si="16"/>
        <v>0.42592592592592593</v>
      </c>
      <c r="J212" s="45">
        <f t="shared" si="17"/>
        <v>1.2038363178994649E-2</v>
      </c>
    </row>
    <row r="213" spans="1:10" x14ac:dyDescent="0.35">
      <c r="A213" s="1">
        <v>2009</v>
      </c>
      <c r="B213" t="s">
        <v>0</v>
      </c>
      <c r="C213">
        <v>70</v>
      </c>
      <c r="D213">
        <v>92</v>
      </c>
      <c r="E213">
        <v>720</v>
      </c>
      <c r="F213">
        <v>782</v>
      </c>
      <c r="G213" s="45">
        <f t="shared" si="18"/>
        <v>0.92071611253196928</v>
      </c>
      <c r="H213" s="41">
        <f t="shared" si="19"/>
        <v>0.4587919187485176</v>
      </c>
      <c r="I213" s="45">
        <f t="shared" si="16"/>
        <v>0.43209876543209874</v>
      </c>
      <c r="J213" s="45">
        <f t="shared" si="17"/>
        <v>2.6693153316418861E-2</v>
      </c>
    </row>
    <row r="214" spans="1:10" x14ac:dyDescent="0.35">
      <c r="A214" s="1">
        <v>2009</v>
      </c>
      <c r="B214" t="s">
        <v>1</v>
      </c>
      <c r="C214">
        <v>86</v>
      </c>
      <c r="D214">
        <v>76</v>
      </c>
      <c r="E214">
        <v>735</v>
      </c>
      <c r="F214">
        <v>641</v>
      </c>
      <c r="G214" s="45">
        <f t="shared" si="18"/>
        <v>1.1466458658346335</v>
      </c>
      <c r="H214" s="41">
        <f t="shared" si="19"/>
        <v>0.56799662708467835</v>
      </c>
      <c r="I214" s="45">
        <f t="shared" si="16"/>
        <v>0.53086419753086422</v>
      </c>
      <c r="J214" s="45">
        <f t="shared" si="17"/>
        <v>3.7132429553814128E-2</v>
      </c>
    </row>
    <row r="215" spans="1:10" x14ac:dyDescent="0.35">
      <c r="A215" s="1">
        <v>2009</v>
      </c>
      <c r="B215" t="s">
        <v>2</v>
      </c>
      <c r="C215">
        <v>64</v>
      </c>
      <c r="D215">
        <v>98</v>
      </c>
      <c r="E215">
        <v>741</v>
      </c>
      <c r="F215">
        <v>876</v>
      </c>
      <c r="G215" s="45">
        <f t="shared" si="18"/>
        <v>0.84589041095890416</v>
      </c>
      <c r="H215" s="41">
        <f t="shared" si="19"/>
        <v>0.4170899619205185</v>
      </c>
      <c r="I215" s="45">
        <f t="shared" si="16"/>
        <v>0.39506172839506171</v>
      </c>
      <c r="J215" s="45">
        <f t="shared" si="17"/>
        <v>2.2028233525456797E-2</v>
      </c>
    </row>
    <row r="216" spans="1:10" x14ac:dyDescent="0.35">
      <c r="A216" s="1">
        <v>2009</v>
      </c>
      <c r="B216" t="s">
        <v>3</v>
      </c>
      <c r="C216">
        <v>95</v>
      </c>
      <c r="D216">
        <v>67</v>
      </c>
      <c r="E216">
        <v>872</v>
      </c>
      <c r="F216">
        <v>736</v>
      </c>
      <c r="G216" s="45">
        <f t="shared" si="18"/>
        <v>1.1847826086956521</v>
      </c>
      <c r="H216" s="41">
        <f t="shared" si="19"/>
        <v>0.58397640697960185</v>
      </c>
      <c r="I216" s="45">
        <f t="shared" si="16"/>
        <v>0.5864197530864198</v>
      </c>
      <c r="J216" s="45">
        <f t="shared" si="17"/>
        <v>2.4433461068179563E-3</v>
      </c>
    </row>
    <row r="217" spans="1:10" x14ac:dyDescent="0.35">
      <c r="A217" s="1">
        <v>2009</v>
      </c>
      <c r="B217" t="s">
        <v>4</v>
      </c>
      <c r="C217">
        <v>83</v>
      </c>
      <c r="D217">
        <v>78</v>
      </c>
      <c r="E217">
        <v>707</v>
      </c>
      <c r="F217">
        <v>672</v>
      </c>
      <c r="G217" s="45">
        <f t="shared" si="18"/>
        <v>1.0520833333333333</v>
      </c>
      <c r="H217" s="41">
        <f t="shared" si="19"/>
        <v>0.52536437142709991</v>
      </c>
      <c r="I217" s="45">
        <f t="shared" si="16"/>
        <v>0.51234567901234573</v>
      </c>
      <c r="J217" s="45">
        <f t="shared" si="17"/>
        <v>1.3018692414754174E-2</v>
      </c>
    </row>
    <row r="218" spans="1:10" x14ac:dyDescent="0.35">
      <c r="A218" s="1">
        <v>2009</v>
      </c>
      <c r="B218" t="s">
        <v>5</v>
      </c>
      <c r="C218">
        <v>79</v>
      </c>
      <c r="D218">
        <v>83</v>
      </c>
      <c r="E218">
        <v>724</v>
      </c>
      <c r="F218">
        <v>732</v>
      </c>
      <c r="G218" s="45">
        <f t="shared" si="18"/>
        <v>0.98907103825136611</v>
      </c>
      <c r="H218" s="41">
        <f t="shared" si="19"/>
        <v>0.49450566037735849</v>
      </c>
      <c r="I218" s="45">
        <f t="shared" si="16"/>
        <v>0.48765432098765432</v>
      </c>
      <c r="J218" s="45">
        <f t="shared" si="17"/>
        <v>6.8513393897041697E-3</v>
      </c>
    </row>
    <row r="219" spans="1:10" x14ac:dyDescent="0.35">
      <c r="A219" s="1">
        <v>2009</v>
      </c>
      <c r="B219" t="s">
        <v>6</v>
      </c>
      <c r="C219">
        <v>78</v>
      </c>
      <c r="D219">
        <v>84</v>
      </c>
      <c r="E219">
        <v>673</v>
      </c>
      <c r="F219">
        <v>723</v>
      </c>
      <c r="G219" s="45">
        <f t="shared" si="18"/>
        <v>0.93084370677731676</v>
      </c>
      <c r="H219" s="41">
        <f t="shared" si="19"/>
        <v>0.46422926886265475</v>
      </c>
      <c r="I219" s="45">
        <f t="shared" si="16"/>
        <v>0.48148148148148145</v>
      </c>
      <c r="J219" s="45">
        <f t="shared" si="17"/>
        <v>1.7252212618826701E-2</v>
      </c>
    </row>
    <row r="220" spans="1:10" x14ac:dyDescent="0.35">
      <c r="A220" s="1">
        <v>2009</v>
      </c>
      <c r="B220" t="s">
        <v>7</v>
      </c>
      <c r="C220">
        <v>65</v>
      </c>
      <c r="D220">
        <v>97</v>
      </c>
      <c r="E220">
        <v>773</v>
      </c>
      <c r="F220">
        <v>865</v>
      </c>
      <c r="G220" s="45">
        <f t="shared" si="18"/>
        <v>0.89364161849710988</v>
      </c>
      <c r="H220" s="41">
        <f t="shared" si="19"/>
        <v>0.44401056953945522</v>
      </c>
      <c r="I220" s="45">
        <f t="shared" si="16"/>
        <v>0.40123456790123457</v>
      </c>
      <c r="J220" s="45">
        <f t="shared" si="17"/>
        <v>4.2776001638220651E-2</v>
      </c>
    </row>
    <row r="221" spans="1:10" x14ac:dyDescent="0.35">
      <c r="A221" s="1">
        <v>2009</v>
      </c>
      <c r="B221" t="s">
        <v>8</v>
      </c>
      <c r="C221">
        <v>92</v>
      </c>
      <c r="D221">
        <v>70</v>
      </c>
      <c r="E221">
        <v>804</v>
      </c>
      <c r="F221">
        <v>715</v>
      </c>
      <c r="G221" s="45">
        <f t="shared" si="18"/>
        <v>1.1244755244755245</v>
      </c>
      <c r="H221" s="41">
        <f t="shared" si="19"/>
        <v>0.5583907273498433</v>
      </c>
      <c r="I221" s="45">
        <f t="shared" ref="I221:I284" si="20">C221/162</f>
        <v>0.5679012345679012</v>
      </c>
      <c r="J221" s="45">
        <f t="shared" ref="J221:J284" si="21">ABS(H221-I221)</f>
        <v>9.5105072180579064E-3</v>
      </c>
    </row>
    <row r="222" spans="1:10" x14ac:dyDescent="0.35">
      <c r="A222" s="1">
        <v>2009</v>
      </c>
      <c r="B222" t="s">
        <v>9</v>
      </c>
      <c r="C222">
        <v>86</v>
      </c>
      <c r="D222">
        <v>77</v>
      </c>
      <c r="E222">
        <v>743</v>
      </c>
      <c r="F222">
        <v>745</v>
      </c>
      <c r="G222" s="45">
        <f t="shared" si="18"/>
        <v>0.99731543624161079</v>
      </c>
      <c r="H222" s="41">
        <f t="shared" si="19"/>
        <v>0.49865591640667201</v>
      </c>
      <c r="I222" s="45">
        <f t="shared" si="20"/>
        <v>0.53086419753086422</v>
      </c>
      <c r="J222" s="45">
        <f t="shared" si="21"/>
        <v>3.2208281124192217E-2</v>
      </c>
    </row>
    <row r="223" spans="1:10" x14ac:dyDescent="0.35">
      <c r="A223" s="1">
        <v>2009</v>
      </c>
      <c r="B223" t="s">
        <v>43</v>
      </c>
      <c r="C223">
        <v>87</v>
      </c>
      <c r="D223">
        <v>75</v>
      </c>
      <c r="E223">
        <v>772</v>
      </c>
      <c r="F223">
        <v>766</v>
      </c>
      <c r="G223" s="45">
        <f t="shared" si="18"/>
        <v>1.0078328981723237</v>
      </c>
      <c r="H223" s="41">
        <f t="shared" si="19"/>
        <v>0.50390111097958967</v>
      </c>
      <c r="I223" s="45">
        <f t="shared" si="20"/>
        <v>0.53703703703703709</v>
      </c>
      <c r="J223" s="45">
        <f t="shared" si="21"/>
        <v>3.3135926057447418E-2</v>
      </c>
    </row>
    <row r="224" spans="1:10" x14ac:dyDescent="0.35">
      <c r="A224" s="1">
        <v>2009</v>
      </c>
      <c r="B224" t="s">
        <v>10</v>
      </c>
      <c r="C224">
        <v>74</v>
      </c>
      <c r="D224">
        <v>88</v>
      </c>
      <c r="E224">
        <v>643</v>
      </c>
      <c r="F224">
        <v>770</v>
      </c>
      <c r="G224" s="45">
        <f t="shared" si="18"/>
        <v>0.83506493506493507</v>
      </c>
      <c r="H224" s="41">
        <f t="shared" si="19"/>
        <v>0.41084057320074846</v>
      </c>
      <c r="I224" s="45">
        <f t="shared" si="20"/>
        <v>0.4567901234567901</v>
      </c>
      <c r="J224" s="45">
        <f t="shared" si="21"/>
        <v>4.5949550256041638E-2</v>
      </c>
    </row>
    <row r="225" spans="1:10" x14ac:dyDescent="0.35">
      <c r="A225" s="1">
        <v>2009</v>
      </c>
      <c r="B225" t="s">
        <v>11</v>
      </c>
      <c r="C225">
        <v>65</v>
      </c>
      <c r="D225">
        <v>97</v>
      </c>
      <c r="E225">
        <v>686</v>
      </c>
      <c r="F225">
        <v>842</v>
      </c>
      <c r="G225" s="45">
        <f t="shared" si="18"/>
        <v>0.81472684085510694</v>
      </c>
      <c r="H225" s="41">
        <f t="shared" si="19"/>
        <v>0.39895893383973691</v>
      </c>
      <c r="I225" s="45">
        <f t="shared" si="20"/>
        <v>0.40123456790123457</v>
      </c>
      <c r="J225" s="45">
        <f t="shared" si="21"/>
        <v>2.2756340614976667E-3</v>
      </c>
    </row>
    <row r="226" spans="1:10" x14ac:dyDescent="0.35">
      <c r="A226" s="1">
        <v>2009</v>
      </c>
      <c r="B226" t="s">
        <v>12</v>
      </c>
      <c r="C226">
        <v>97</v>
      </c>
      <c r="D226">
        <v>65</v>
      </c>
      <c r="E226">
        <v>883</v>
      </c>
      <c r="F226">
        <v>761</v>
      </c>
      <c r="G226" s="45">
        <f t="shared" si="18"/>
        <v>1.1603153745072274</v>
      </c>
      <c r="H226" s="41">
        <f t="shared" si="19"/>
        <v>0.57380281275527856</v>
      </c>
      <c r="I226" s="45">
        <f t="shared" si="20"/>
        <v>0.59876543209876543</v>
      </c>
      <c r="J226" s="45">
        <f t="shared" si="21"/>
        <v>2.4962619343486869E-2</v>
      </c>
    </row>
    <row r="227" spans="1:10" x14ac:dyDescent="0.35">
      <c r="A227" s="1">
        <v>2009</v>
      </c>
      <c r="B227" t="s">
        <v>13</v>
      </c>
      <c r="C227">
        <v>95</v>
      </c>
      <c r="D227">
        <v>67</v>
      </c>
      <c r="E227">
        <v>780</v>
      </c>
      <c r="F227">
        <v>611</v>
      </c>
      <c r="G227" s="45">
        <f t="shared" si="18"/>
        <v>1.2765957446808511</v>
      </c>
      <c r="H227" s="41">
        <f t="shared" si="19"/>
        <v>0.61972800826304009</v>
      </c>
      <c r="I227" s="45">
        <f t="shared" si="20"/>
        <v>0.5864197530864198</v>
      </c>
      <c r="J227" s="45">
        <f t="shared" si="21"/>
        <v>3.3308255176620283E-2</v>
      </c>
    </row>
    <row r="228" spans="1:10" x14ac:dyDescent="0.35">
      <c r="A228" s="1">
        <v>2009</v>
      </c>
      <c r="B228" t="s">
        <v>15</v>
      </c>
      <c r="C228">
        <v>80</v>
      </c>
      <c r="D228">
        <v>82</v>
      </c>
      <c r="E228">
        <v>785</v>
      </c>
      <c r="F228">
        <v>818</v>
      </c>
      <c r="G228" s="45">
        <f t="shared" si="18"/>
        <v>0.95965770171149145</v>
      </c>
      <c r="H228" s="41">
        <f t="shared" si="19"/>
        <v>0.47942232031922849</v>
      </c>
      <c r="I228" s="45">
        <f t="shared" si="20"/>
        <v>0.49382716049382713</v>
      </c>
      <c r="J228" s="45">
        <f t="shared" si="21"/>
        <v>1.4404840174598643E-2</v>
      </c>
    </row>
    <row r="229" spans="1:10" x14ac:dyDescent="0.35">
      <c r="A229" s="1">
        <v>2009</v>
      </c>
      <c r="B229" t="s">
        <v>16</v>
      </c>
      <c r="C229">
        <v>87</v>
      </c>
      <c r="D229">
        <v>76</v>
      </c>
      <c r="E229">
        <v>817</v>
      </c>
      <c r="F229">
        <v>765</v>
      </c>
      <c r="G229" s="45">
        <f t="shared" si="18"/>
        <v>1.0679738562091503</v>
      </c>
      <c r="H229" s="41">
        <f t="shared" si="19"/>
        <v>0.53283431014581151</v>
      </c>
      <c r="I229" s="45">
        <f t="shared" si="20"/>
        <v>0.53703703703703709</v>
      </c>
      <c r="J229" s="45">
        <f t="shared" si="21"/>
        <v>4.2027268912255833E-3</v>
      </c>
    </row>
    <row r="230" spans="1:10" x14ac:dyDescent="0.35">
      <c r="A230" s="1">
        <v>2009</v>
      </c>
      <c r="B230" t="s">
        <v>17</v>
      </c>
      <c r="C230">
        <v>70</v>
      </c>
      <c r="D230">
        <v>92</v>
      </c>
      <c r="E230">
        <v>671</v>
      </c>
      <c r="F230">
        <v>757</v>
      </c>
      <c r="G230" s="45">
        <f t="shared" si="18"/>
        <v>0.88639365918097757</v>
      </c>
      <c r="H230" s="41">
        <f t="shared" si="19"/>
        <v>0.43999355021548142</v>
      </c>
      <c r="I230" s="45">
        <f t="shared" si="20"/>
        <v>0.43209876543209874</v>
      </c>
      <c r="J230" s="45">
        <f t="shared" si="21"/>
        <v>7.8947847833826801E-3</v>
      </c>
    </row>
    <row r="231" spans="1:10" x14ac:dyDescent="0.35">
      <c r="A231" s="1">
        <v>2009</v>
      </c>
      <c r="B231" t="s">
        <v>18</v>
      </c>
      <c r="C231">
        <v>103</v>
      </c>
      <c r="D231">
        <v>59</v>
      </c>
      <c r="E231">
        <v>915</v>
      </c>
      <c r="F231">
        <v>753</v>
      </c>
      <c r="G231" s="45">
        <f t="shared" si="18"/>
        <v>1.2151394422310757</v>
      </c>
      <c r="H231" s="41">
        <f t="shared" si="19"/>
        <v>0.59621473344186227</v>
      </c>
      <c r="I231" s="45">
        <f t="shared" si="20"/>
        <v>0.63580246913580252</v>
      </c>
      <c r="J231" s="45">
        <f t="shared" si="21"/>
        <v>3.9587735693940251E-2</v>
      </c>
    </row>
    <row r="232" spans="1:10" x14ac:dyDescent="0.35">
      <c r="A232" s="1">
        <v>2009</v>
      </c>
      <c r="B232" t="s">
        <v>19</v>
      </c>
      <c r="C232">
        <v>75</v>
      </c>
      <c r="D232">
        <v>87</v>
      </c>
      <c r="E232">
        <v>759</v>
      </c>
      <c r="F232">
        <v>761</v>
      </c>
      <c r="G232" s="45">
        <f t="shared" si="18"/>
        <v>0.99737187910643887</v>
      </c>
      <c r="H232" s="41">
        <f t="shared" si="19"/>
        <v>0.49868421280434067</v>
      </c>
      <c r="I232" s="45">
        <f t="shared" si="20"/>
        <v>0.46296296296296297</v>
      </c>
      <c r="J232" s="45">
        <f t="shared" si="21"/>
        <v>3.57212498413777E-2</v>
      </c>
    </row>
    <row r="233" spans="1:10" x14ac:dyDescent="0.35">
      <c r="A233" s="1">
        <v>2009</v>
      </c>
      <c r="B233" t="s">
        <v>20</v>
      </c>
      <c r="C233">
        <v>93</v>
      </c>
      <c r="D233">
        <v>69</v>
      </c>
      <c r="E233">
        <v>820</v>
      </c>
      <c r="F233">
        <v>709</v>
      </c>
      <c r="G233" s="45">
        <f t="shared" si="18"/>
        <v>1.156558533145275</v>
      </c>
      <c r="H233" s="41">
        <f t="shared" si="19"/>
        <v>0.57221587277813191</v>
      </c>
      <c r="I233" s="45">
        <f t="shared" si="20"/>
        <v>0.57407407407407407</v>
      </c>
      <c r="J233" s="45">
        <f t="shared" si="21"/>
        <v>1.8582012959421634E-3</v>
      </c>
    </row>
    <row r="234" spans="1:10" x14ac:dyDescent="0.35">
      <c r="A234" s="1">
        <v>2009</v>
      </c>
      <c r="B234" t="s">
        <v>21</v>
      </c>
      <c r="C234">
        <v>62</v>
      </c>
      <c r="D234">
        <v>99</v>
      </c>
      <c r="E234">
        <v>636</v>
      </c>
      <c r="F234">
        <v>768</v>
      </c>
      <c r="G234" s="45">
        <f t="shared" si="18"/>
        <v>0.828125</v>
      </c>
      <c r="H234" s="41">
        <f t="shared" si="19"/>
        <v>0.40680666183924691</v>
      </c>
      <c r="I234" s="45">
        <f t="shared" si="20"/>
        <v>0.38271604938271603</v>
      </c>
      <c r="J234" s="45">
        <f t="shared" si="21"/>
        <v>2.409061245653088E-2</v>
      </c>
    </row>
    <row r="235" spans="1:10" x14ac:dyDescent="0.35">
      <c r="A235" s="1">
        <v>2009</v>
      </c>
      <c r="B235" t="s">
        <v>22</v>
      </c>
      <c r="C235">
        <v>75</v>
      </c>
      <c r="D235">
        <v>87</v>
      </c>
      <c r="E235">
        <v>638</v>
      </c>
      <c r="F235">
        <v>769</v>
      </c>
      <c r="G235" s="45">
        <f t="shared" si="18"/>
        <v>0.82964889466840053</v>
      </c>
      <c r="H235" s="41">
        <f t="shared" si="19"/>
        <v>0.4076942723644213</v>
      </c>
      <c r="I235" s="45">
        <f t="shared" si="20"/>
        <v>0.46296296296296297</v>
      </c>
      <c r="J235" s="45">
        <f t="shared" si="21"/>
        <v>5.526869059854167E-2</v>
      </c>
    </row>
    <row r="236" spans="1:10" x14ac:dyDescent="0.35">
      <c r="A236" s="1">
        <v>2009</v>
      </c>
      <c r="B236" t="s">
        <v>23</v>
      </c>
      <c r="C236">
        <v>85</v>
      </c>
      <c r="D236">
        <v>77</v>
      </c>
      <c r="E236">
        <v>640</v>
      </c>
      <c r="F236">
        <v>692</v>
      </c>
      <c r="G236" s="45">
        <f t="shared" si="18"/>
        <v>0.92485549132947975</v>
      </c>
      <c r="H236" s="41">
        <f t="shared" si="19"/>
        <v>0.4610203677357777</v>
      </c>
      <c r="I236" s="45">
        <f t="shared" si="20"/>
        <v>0.52469135802469136</v>
      </c>
      <c r="J236" s="45">
        <f t="shared" si="21"/>
        <v>6.3670990288913654E-2</v>
      </c>
    </row>
    <row r="237" spans="1:10" x14ac:dyDescent="0.35">
      <c r="A237" s="1">
        <v>2009</v>
      </c>
      <c r="B237" t="s">
        <v>24</v>
      </c>
      <c r="C237">
        <v>88</v>
      </c>
      <c r="D237">
        <v>74</v>
      </c>
      <c r="E237">
        <v>657</v>
      </c>
      <c r="F237">
        <v>611</v>
      </c>
      <c r="G237" s="45">
        <f t="shared" si="18"/>
        <v>1.0752864157119477</v>
      </c>
      <c r="H237" s="41">
        <f t="shared" si="19"/>
        <v>0.53622992161198557</v>
      </c>
      <c r="I237" s="45">
        <f t="shared" si="20"/>
        <v>0.54320987654320985</v>
      </c>
      <c r="J237" s="45">
        <f t="shared" si="21"/>
        <v>6.9799549312242748E-3</v>
      </c>
    </row>
    <row r="238" spans="1:10" x14ac:dyDescent="0.35">
      <c r="A238" s="1">
        <v>2009</v>
      </c>
      <c r="B238" t="s">
        <v>25</v>
      </c>
      <c r="C238">
        <v>91</v>
      </c>
      <c r="D238">
        <v>71</v>
      </c>
      <c r="E238">
        <v>730</v>
      </c>
      <c r="F238">
        <v>640</v>
      </c>
      <c r="G238" s="45">
        <f t="shared" si="18"/>
        <v>1.140625</v>
      </c>
      <c r="H238" s="41">
        <f t="shared" si="19"/>
        <v>0.56541114058355435</v>
      </c>
      <c r="I238" s="45">
        <f t="shared" si="20"/>
        <v>0.56172839506172845</v>
      </c>
      <c r="J238" s="45">
        <f t="shared" si="21"/>
        <v>3.6827455218259031E-3</v>
      </c>
    </row>
    <row r="239" spans="1:10" x14ac:dyDescent="0.35">
      <c r="A239" s="1">
        <v>2009</v>
      </c>
      <c r="B239" t="s">
        <v>26</v>
      </c>
      <c r="C239">
        <v>84</v>
      </c>
      <c r="D239">
        <v>78</v>
      </c>
      <c r="E239">
        <v>803</v>
      </c>
      <c r="F239">
        <v>754</v>
      </c>
      <c r="G239" s="45">
        <f t="shared" si="18"/>
        <v>1.0649867374005304</v>
      </c>
      <c r="H239" s="41">
        <f t="shared" si="19"/>
        <v>0.53143963900850966</v>
      </c>
      <c r="I239" s="45">
        <f t="shared" si="20"/>
        <v>0.51851851851851849</v>
      </c>
      <c r="J239" s="45">
        <f t="shared" si="21"/>
        <v>1.2921120489991167E-2</v>
      </c>
    </row>
    <row r="240" spans="1:10" x14ac:dyDescent="0.35">
      <c r="A240" s="1">
        <v>2009</v>
      </c>
      <c r="B240" t="s">
        <v>27</v>
      </c>
      <c r="C240">
        <v>87</v>
      </c>
      <c r="D240">
        <v>75</v>
      </c>
      <c r="E240">
        <v>784</v>
      </c>
      <c r="F240">
        <v>740</v>
      </c>
      <c r="G240" s="45">
        <f t="shared" si="18"/>
        <v>1.0594594594594595</v>
      </c>
      <c r="H240" s="41">
        <f t="shared" si="19"/>
        <v>0.52884734516319998</v>
      </c>
      <c r="I240" s="45">
        <f t="shared" si="20"/>
        <v>0.53703703703703709</v>
      </c>
      <c r="J240" s="45">
        <f t="shared" si="21"/>
        <v>8.1896918738371127E-3</v>
      </c>
    </row>
    <row r="241" spans="1:10" x14ac:dyDescent="0.35">
      <c r="A241" s="1">
        <v>2009</v>
      </c>
      <c r="B241" t="s">
        <v>28</v>
      </c>
      <c r="C241">
        <v>75</v>
      </c>
      <c r="D241">
        <v>87</v>
      </c>
      <c r="E241">
        <v>798</v>
      </c>
      <c r="F241">
        <v>771</v>
      </c>
      <c r="G241" s="45">
        <f t="shared" si="18"/>
        <v>1.0350194552529184</v>
      </c>
      <c r="H241" s="41">
        <f t="shared" si="19"/>
        <v>0.51720331859215674</v>
      </c>
      <c r="I241" s="45">
        <f t="shared" si="20"/>
        <v>0.46296296296296297</v>
      </c>
      <c r="J241" s="45">
        <f t="shared" si="21"/>
        <v>5.4240355629193771E-2</v>
      </c>
    </row>
    <row r="242" spans="1:10" x14ac:dyDescent="0.35">
      <c r="A242" s="1">
        <v>2009</v>
      </c>
      <c r="B242" t="s">
        <v>29</v>
      </c>
      <c r="C242">
        <v>59</v>
      </c>
      <c r="D242">
        <v>103</v>
      </c>
      <c r="E242">
        <v>710</v>
      </c>
      <c r="F242">
        <v>874</v>
      </c>
      <c r="G242" s="45">
        <f t="shared" si="18"/>
        <v>0.81235697940503437</v>
      </c>
      <c r="H242" s="41">
        <f t="shared" si="19"/>
        <v>0.3975627298939412</v>
      </c>
      <c r="I242" s="45">
        <f t="shared" si="20"/>
        <v>0.36419753086419754</v>
      </c>
      <c r="J242" s="45">
        <f t="shared" si="21"/>
        <v>3.3365199029743664E-2</v>
      </c>
    </row>
    <row r="243" spans="1:10" x14ac:dyDescent="0.35">
      <c r="A243" s="1">
        <v>2008</v>
      </c>
      <c r="B243" t="s">
        <v>0</v>
      </c>
      <c r="C243">
        <v>82</v>
      </c>
      <c r="D243">
        <v>80</v>
      </c>
      <c r="E243">
        <v>720</v>
      </c>
      <c r="F243">
        <v>706</v>
      </c>
      <c r="G243" s="45">
        <f t="shared" si="18"/>
        <v>1.0198300283286119</v>
      </c>
      <c r="H243" s="41">
        <f t="shared" si="19"/>
        <v>0.50981672560766933</v>
      </c>
      <c r="I243" s="45">
        <f t="shared" si="20"/>
        <v>0.50617283950617287</v>
      </c>
      <c r="J243" s="45">
        <f t="shared" si="21"/>
        <v>3.643886101496463E-3</v>
      </c>
    </row>
    <row r="244" spans="1:10" x14ac:dyDescent="0.35">
      <c r="A244" s="1">
        <v>2008</v>
      </c>
      <c r="B244" t="s">
        <v>1</v>
      </c>
      <c r="C244">
        <v>72</v>
      </c>
      <c r="D244">
        <v>90</v>
      </c>
      <c r="E244">
        <v>753</v>
      </c>
      <c r="F244">
        <v>778</v>
      </c>
      <c r="G244" s="45">
        <f t="shared" si="18"/>
        <v>0.96786632390745497</v>
      </c>
      <c r="H244" s="41">
        <f t="shared" si="19"/>
        <v>0.48367515629625019</v>
      </c>
      <c r="I244" s="45">
        <f t="shared" si="20"/>
        <v>0.44444444444444442</v>
      </c>
      <c r="J244" s="45">
        <f t="shared" si="21"/>
        <v>3.9230711851805766E-2</v>
      </c>
    </row>
    <row r="245" spans="1:10" x14ac:dyDescent="0.35">
      <c r="A245" s="1">
        <v>2008</v>
      </c>
      <c r="B245" t="s">
        <v>2</v>
      </c>
      <c r="C245">
        <v>68</v>
      </c>
      <c r="D245">
        <v>93</v>
      </c>
      <c r="E245">
        <v>782</v>
      </c>
      <c r="F245">
        <v>869</v>
      </c>
      <c r="G245" s="45">
        <f t="shared" si="18"/>
        <v>0.89988492520138086</v>
      </c>
      <c r="H245" s="41">
        <f t="shared" si="19"/>
        <v>0.44745058297998441</v>
      </c>
      <c r="I245" s="45">
        <f t="shared" si="20"/>
        <v>0.41975308641975306</v>
      </c>
      <c r="J245" s="45">
        <f t="shared" si="21"/>
        <v>2.7697496560231349E-2</v>
      </c>
    </row>
    <row r="246" spans="1:10" x14ac:dyDescent="0.35">
      <c r="A246" s="1">
        <v>2008</v>
      </c>
      <c r="B246" t="s">
        <v>3</v>
      </c>
      <c r="C246">
        <v>95</v>
      </c>
      <c r="D246">
        <v>67</v>
      </c>
      <c r="E246">
        <v>845</v>
      </c>
      <c r="F246">
        <v>694</v>
      </c>
      <c r="G246" s="45">
        <f t="shared" si="18"/>
        <v>1.217579250720461</v>
      </c>
      <c r="H246" s="41">
        <f t="shared" si="19"/>
        <v>0.59718013717935103</v>
      </c>
      <c r="I246" s="45">
        <f t="shared" si="20"/>
        <v>0.5864197530864198</v>
      </c>
      <c r="J246" s="45">
        <f t="shared" si="21"/>
        <v>1.076038409293123E-2</v>
      </c>
    </row>
    <row r="247" spans="1:10" x14ac:dyDescent="0.35">
      <c r="A247" s="1">
        <v>2008</v>
      </c>
      <c r="B247" t="s">
        <v>4</v>
      </c>
      <c r="C247">
        <v>97</v>
      </c>
      <c r="D247">
        <v>64</v>
      </c>
      <c r="E247">
        <v>855</v>
      </c>
      <c r="F247">
        <v>671</v>
      </c>
      <c r="G247" s="45">
        <f t="shared" si="18"/>
        <v>1.2742175856929956</v>
      </c>
      <c r="H247" s="41">
        <f t="shared" si="19"/>
        <v>0.61884876056705262</v>
      </c>
      <c r="I247" s="45">
        <f t="shared" si="20"/>
        <v>0.59876543209876543</v>
      </c>
      <c r="J247" s="45">
        <f t="shared" si="21"/>
        <v>2.0083328468287198E-2</v>
      </c>
    </row>
    <row r="248" spans="1:10" x14ac:dyDescent="0.35">
      <c r="A248" s="1">
        <v>2008</v>
      </c>
      <c r="B248" t="s">
        <v>5</v>
      </c>
      <c r="C248">
        <v>89</v>
      </c>
      <c r="D248">
        <v>74</v>
      </c>
      <c r="E248">
        <v>811</v>
      </c>
      <c r="F248">
        <v>729</v>
      </c>
      <c r="G248" s="45">
        <f t="shared" si="18"/>
        <v>1.112482853223594</v>
      </c>
      <c r="H248" s="41">
        <f t="shared" si="19"/>
        <v>0.55309621397252862</v>
      </c>
      <c r="I248" s="45">
        <f t="shared" si="20"/>
        <v>0.54938271604938271</v>
      </c>
      <c r="J248" s="45">
        <f t="shared" si="21"/>
        <v>3.7134979231459031E-3</v>
      </c>
    </row>
    <row r="249" spans="1:10" x14ac:dyDescent="0.35">
      <c r="A249" s="1">
        <v>2008</v>
      </c>
      <c r="B249" t="s">
        <v>6</v>
      </c>
      <c r="C249">
        <v>74</v>
      </c>
      <c r="D249">
        <v>88</v>
      </c>
      <c r="E249">
        <v>704</v>
      </c>
      <c r="F249">
        <v>800</v>
      </c>
      <c r="G249" s="45">
        <f t="shared" si="18"/>
        <v>0.88</v>
      </c>
      <c r="H249" s="41">
        <f t="shared" si="19"/>
        <v>0.436429215509468</v>
      </c>
      <c r="I249" s="45">
        <f t="shared" si="20"/>
        <v>0.4567901234567901</v>
      </c>
      <c r="J249" s="45">
        <f t="shared" si="21"/>
        <v>2.0360907947322093E-2</v>
      </c>
    </row>
    <row r="250" spans="1:10" x14ac:dyDescent="0.35">
      <c r="A250" s="1">
        <v>2008</v>
      </c>
      <c r="B250" t="s">
        <v>7</v>
      </c>
      <c r="C250">
        <v>81</v>
      </c>
      <c r="D250">
        <v>81</v>
      </c>
      <c r="E250">
        <v>805</v>
      </c>
      <c r="F250">
        <v>761</v>
      </c>
      <c r="G250" s="45">
        <f t="shared" si="18"/>
        <v>1.0578186596583443</v>
      </c>
      <c r="H250" s="41">
        <f t="shared" si="19"/>
        <v>0.52807489899327387</v>
      </c>
      <c r="I250" s="45">
        <f t="shared" si="20"/>
        <v>0.5</v>
      </c>
      <c r="J250" s="45">
        <f t="shared" si="21"/>
        <v>2.8074898993273867E-2</v>
      </c>
    </row>
    <row r="251" spans="1:10" x14ac:dyDescent="0.35">
      <c r="A251" s="1">
        <v>2008</v>
      </c>
      <c r="B251" t="s">
        <v>8</v>
      </c>
      <c r="C251">
        <v>74</v>
      </c>
      <c r="D251">
        <v>88</v>
      </c>
      <c r="E251">
        <v>747</v>
      </c>
      <c r="F251">
        <v>822</v>
      </c>
      <c r="G251" s="45">
        <f t="shared" si="18"/>
        <v>0.90875912408759119</v>
      </c>
      <c r="H251" s="41">
        <f t="shared" si="19"/>
        <v>0.4523078269877514</v>
      </c>
      <c r="I251" s="45">
        <f t="shared" si="20"/>
        <v>0.4567901234567901</v>
      </c>
      <c r="J251" s="45">
        <f t="shared" si="21"/>
        <v>4.4822964690386935E-3</v>
      </c>
    </row>
    <row r="252" spans="1:10" x14ac:dyDescent="0.35">
      <c r="A252" s="1">
        <v>2008</v>
      </c>
      <c r="B252" t="s">
        <v>9</v>
      </c>
      <c r="C252">
        <v>74</v>
      </c>
      <c r="D252">
        <v>88</v>
      </c>
      <c r="E252">
        <v>821</v>
      </c>
      <c r="F252">
        <v>857</v>
      </c>
      <c r="G252" s="45">
        <f t="shared" si="18"/>
        <v>0.95799299883313882</v>
      </c>
      <c r="H252" s="41">
        <f t="shared" si="19"/>
        <v>0.4785557582943436</v>
      </c>
      <c r="I252" s="45">
        <f t="shared" si="20"/>
        <v>0.4567901234567901</v>
      </c>
      <c r="J252" s="45">
        <f t="shared" si="21"/>
        <v>2.1765634837553505E-2</v>
      </c>
    </row>
    <row r="253" spans="1:10" x14ac:dyDescent="0.35">
      <c r="A253" s="1">
        <v>2008</v>
      </c>
      <c r="B253" t="s">
        <v>43</v>
      </c>
      <c r="C253">
        <v>84</v>
      </c>
      <c r="D253">
        <v>77</v>
      </c>
      <c r="E253">
        <v>770</v>
      </c>
      <c r="F253">
        <v>767</v>
      </c>
      <c r="G253" s="45">
        <f t="shared" si="18"/>
        <v>1.0039113428943938</v>
      </c>
      <c r="H253" s="41">
        <f t="shared" si="19"/>
        <v>0.50195184682552918</v>
      </c>
      <c r="I253" s="45">
        <f t="shared" si="20"/>
        <v>0.51851851851851849</v>
      </c>
      <c r="J253" s="45">
        <f t="shared" si="21"/>
        <v>1.656667169298931E-2</v>
      </c>
    </row>
    <row r="254" spans="1:10" x14ac:dyDescent="0.35">
      <c r="A254" s="1">
        <v>2008</v>
      </c>
      <c r="B254" t="s">
        <v>10</v>
      </c>
      <c r="C254">
        <v>86</v>
      </c>
      <c r="D254">
        <v>75</v>
      </c>
      <c r="E254">
        <v>712</v>
      </c>
      <c r="F254">
        <v>743</v>
      </c>
      <c r="G254" s="45">
        <f t="shared" si="18"/>
        <v>0.95827725437415878</v>
      </c>
      <c r="H254" s="41">
        <f t="shared" si="19"/>
        <v>0.4787038252377494</v>
      </c>
      <c r="I254" s="45">
        <f t="shared" si="20"/>
        <v>0.53086419753086422</v>
      </c>
      <c r="J254" s="45">
        <f t="shared" si="21"/>
        <v>5.2160372293114821E-2</v>
      </c>
    </row>
    <row r="255" spans="1:10" x14ac:dyDescent="0.35">
      <c r="A255" s="1">
        <v>2008</v>
      </c>
      <c r="B255" t="s">
        <v>11</v>
      </c>
      <c r="C255">
        <v>75</v>
      </c>
      <c r="D255">
        <v>87</v>
      </c>
      <c r="E255">
        <v>691</v>
      </c>
      <c r="F255">
        <v>781</v>
      </c>
      <c r="G255" s="45">
        <f t="shared" ref="G255:G318" si="22">E255/F255</f>
        <v>0.8847631241997439</v>
      </c>
      <c r="H255" s="41">
        <f t="shared" si="19"/>
        <v>0.4390864064474243</v>
      </c>
      <c r="I255" s="45">
        <f t="shared" si="20"/>
        <v>0.46296296296296297</v>
      </c>
      <c r="J255" s="45">
        <f t="shared" si="21"/>
        <v>2.3876556515538661E-2</v>
      </c>
    </row>
    <row r="256" spans="1:10" x14ac:dyDescent="0.35">
      <c r="A256" s="1">
        <v>2008</v>
      </c>
      <c r="B256" t="s">
        <v>12</v>
      </c>
      <c r="C256">
        <v>100</v>
      </c>
      <c r="D256">
        <v>62</v>
      </c>
      <c r="E256">
        <v>765</v>
      </c>
      <c r="F256">
        <v>697</v>
      </c>
      <c r="G256" s="45">
        <f t="shared" si="22"/>
        <v>1.0975609756097562</v>
      </c>
      <c r="H256" s="41">
        <f t="shared" si="19"/>
        <v>0.5464112250404749</v>
      </c>
      <c r="I256" s="45">
        <f t="shared" si="20"/>
        <v>0.61728395061728392</v>
      </c>
      <c r="J256" s="45">
        <f t="shared" si="21"/>
        <v>7.0872725576809015E-2</v>
      </c>
    </row>
    <row r="257" spans="1:10" x14ac:dyDescent="0.35">
      <c r="A257" s="1">
        <v>2008</v>
      </c>
      <c r="B257" t="s">
        <v>13</v>
      </c>
      <c r="C257">
        <v>84</v>
      </c>
      <c r="D257">
        <v>78</v>
      </c>
      <c r="E257">
        <v>700</v>
      </c>
      <c r="F257">
        <v>648</v>
      </c>
      <c r="G257" s="45">
        <f t="shared" si="22"/>
        <v>1.0802469135802468</v>
      </c>
      <c r="H257" s="41">
        <f t="shared" si="19"/>
        <v>0.53851834918848573</v>
      </c>
      <c r="I257" s="45">
        <f t="shared" si="20"/>
        <v>0.51851851851851849</v>
      </c>
      <c r="J257" s="45">
        <f t="shared" si="21"/>
        <v>1.9999830669967245E-2</v>
      </c>
    </row>
    <row r="258" spans="1:10" x14ac:dyDescent="0.35">
      <c r="A258" s="1">
        <v>2008</v>
      </c>
      <c r="B258" t="s">
        <v>15</v>
      </c>
      <c r="C258">
        <v>90</v>
      </c>
      <c r="D258">
        <v>72</v>
      </c>
      <c r="E258">
        <v>750</v>
      </c>
      <c r="F258">
        <v>689</v>
      </c>
      <c r="G258" s="45">
        <f t="shared" si="22"/>
        <v>1.0885341074020318</v>
      </c>
      <c r="H258" s="41">
        <f t="shared" si="19"/>
        <v>0.54231451156503763</v>
      </c>
      <c r="I258" s="45">
        <f t="shared" si="20"/>
        <v>0.55555555555555558</v>
      </c>
      <c r="J258" s="45">
        <f t="shared" si="21"/>
        <v>1.3241043990517953E-2</v>
      </c>
    </row>
    <row r="259" spans="1:10" x14ac:dyDescent="0.35">
      <c r="A259" s="1">
        <v>2008</v>
      </c>
      <c r="B259" t="s">
        <v>16</v>
      </c>
      <c r="C259">
        <v>88</v>
      </c>
      <c r="D259">
        <v>75</v>
      </c>
      <c r="E259">
        <v>829</v>
      </c>
      <c r="F259">
        <v>745</v>
      </c>
      <c r="G259" s="45">
        <f t="shared" si="22"/>
        <v>1.112751677852349</v>
      </c>
      <c r="H259" s="41">
        <f t="shared" si="19"/>
        <v>0.5532156559062229</v>
      </c>
      <c r="I259" s="45">
        <f t="shared" si="20"/>
        <v>0.54320987654320985</v>
      </c>
      <c r="J259" s="45">
        <f t="shared" si="21"/>
        <v>1.0005779363013056E-2</v>
      </c>
    </row>
    <row r="260" spans="1:10" x14ac:dyDescent="0.35">
      <c r="A260" s="1">
        <v>2008</v>
      </c>
      <c r="B260" t="s">
        <v>17</v>
      </c>
      <c r="C260">
        <v>89</v>
      </c>
      <c r="D260">
        <v>73</v>
      </c>
      <c r="E260">
        <v>799</v>
      </c>
      <c r="F260">
        <v>715</v>
      </c>
      <c r="G260" s="45">
        <f t="shared" si="22"/>
        <v>1.1174825174825176</v>
      </c>
      <c r="H260" s="41">
        <f t="shared" ref="H260:H323" si="23">(G260^$G$1)/((G260^$G$1)+1)</f>
        <v>0.55531190143577136</v>
      </c>
      <c r="I260" s="45">
        <f t="shared" si="20"/>
        <v>0.54938271604938271</v>
      </c>
      <c r="J260" s="45">
        <f t="shared" si="21"/>
        <v>5.9291853863886468E-3</v>
      </c>
    </row>
    <row r="261" spans="1:10" x14ac:dyDescent="0.35">
      <c r="A261" s="1">
        <v>2008</v>
      </c>
      <c r="B261" t="s">
        <v>18</v>
      </c>
      <c r="C261">
        <v>89</v>
      </c>
      <c r="D261">
        <v>73</v>
      </c>
      <c r="E261">
        <v>789</v>
      </c>
      <c r="F261">
        <v>727</v>
      </c>
      <c r="G261" s="45">
        <f t="shared" si="22"/>
        <v>1.0852819807427785</v>
      </c>
      <c r="H261" s="41">
        <f t="shared" si="23"/>
        <v>0.54082880847921466</v>
      </c>
      <c r="I261" s="45">
        <f t="shared" si="20"/>
        <v>0.54938271604938271</v>
      </c>
      <c r="J261" s="45">
        <f t="shared" si="21"/>
        <v>8.5539075701680511E-3</v>
      </c>
    </row>
    <row r="262" spans="1:10" x14ac:dyDescent="0.35">
      <c r="A262" s="1">
        <v>2008</v>
      </c>
      <c r="B262" t="s">
        <v>19</v>
      </c>
      <c r="C262">
        <v>75</v>
      </c>
      <c r="D262">
        <v>86</v>
      </c>
      <c r="E262">
        <v>646</v>
      </c>
      <c r="F262">
        <v>690</v>
      </c>
      <c r="G262" s="45">
        <f t="shared" si="22"/>
        <v>0.93623188405797098</v>
      </c>
      <c r="H262" s="41">
        <f t="shared" si="23"/>
        <v>0.46710155179669932</v>
      </c>
      <c r="I262" s="45">
        <f t="shared" si="20"/>
        <v>0.46296296296296297</v>
      </c>
      <c r="J262" s="45">
        <f t="shared" si="21"/>
        <v>4.1385888337363563E-3</v>
      </c>
    </row>
    <row r="263" spans="1:10" x14ac:dyDescent="0.35">
      <c r="A263" s="1">
        <v>2008</v>
      </c>
      <c r="B263" t="s">
        <v>20</v>
      </c>
      <c r="C263">
        <v>92</v>
      </c>
      <c r="D263">
        <v>70</v>
      </c>
      <c r="E263">
        <v>799</v>
      </c>
      <c r="F263">
        <v>680</v>
      </c>
      <c r="G263" s="45">
        <f t="shared" si="22"/>
        <v>1.175</v>
      </c>
      <c r="H263" s="41">
        <f t="shared" si="23"/>
        <v>0.57994224205828304</v>
      </c>
      <c r="I263" s="45">
        <f t="shared" si="20"/>
        <v>0.5679012345679012</v>
      </c>
      <c r="J263" s="45">
        <f t="shared" si="21"/>
        <v>1.2041007490381839E-2</v>
      </c>
    </row>
    <row r="264" spans="1:10" x14ac:dyDescent="0.35">
      <c r="A264" s="1">
        <v>2008</v>
      </c>
      <c r="B264" t="s">
        <v>21</v>
      </c>
      <c r="C264">
        <v>67</v>
      </c>
      <c r="D264">
        <v>95</v>
      </c>
      <c r="E264">
        <v>735</v>
      </c>
      <c r="F264">
        <v>884</v>
      </c>
      <c r="G264" s="45">
        <f t="shared" si="22"/>
        <v>0.83144796380090502</v>
      </c>
      <c r="H264" s="41">
        <f t="shared" si="23"/>
        <v>0.4087408383717403</v>
      </c>
      <c r="I264" s="45">
        <f t="shared" si="20"/>
        <v>0.41358024691358025</v>
      </c>
      <c r="J264" s="45">
        <f t="shared" si="21"/>
        <v>4.8394085418399513E-3</v>
      </c>
    </row>
    <row r="265" spans="1:10" x14ac:dyDescent="0.35">
      <c r="A265" s="1">
        <v>2008</v>
      </c>
      <c r="B265" t="s">
        <v>22</v>
      </c>
      <c r="C265">
        <v>63</v>
      </c>
      <c r="D265">
        <v>99</v>
      </c>
      <c r="E265">
        <v>637</v>
      </c>
      <c r="F265">
        <v>764</v>
      </c>
      <c r="G265" s="45">
        <f t="shared" si="22"/>
        <v>0.83376963350785338</v>
      </c>
      <c r="H265" s="41">
        <f t="shared" si="23"/>
        <v>0.41008929067728522</v>
      </c>
      <c r="I265" s="45">
        <f t="shared" si="20"/>
        <v>0.3888888888888889</v>
      </c>
      <c r="J265" s="45">
        <f t="shared" si="21"/>
        <v>2.1200401788396328E-2</v>
      </c>
    </row>
    <row r="266" spans="1:10" x14ac:dyDescent="0.35">
      <c r="A266" s="1">
        <v>2008</v>
      </c>
      <c r="B266" t="s">
        <v>23</v>
      </c>
      <c r="C266">
        <v>61</v>
      </c>
      <c r="D266">
        <v>101</v>
      </c>
      <c r="E266">
        <v>671</v>
      </c>
      <c r="F266">
        <v>811</v>
      </c>
      <c r="G266" s="45">
        <f t="shared" si="22"/>
        <v>0.8273736128236745</v>
      </c>
      <c r="H266" s="41">
        <f t="shared" si="23"/>
        <v>0.40636862997106404</v>
      </c>
      <c r="I266" s="45">
        <f t="shared" si="20"/>
        <v>0.37654320987654322</v>
      </c>
      <c r="J266" s="45">
        <f t="shared" si="21"/>
        <v>2.9825420094520827E-2</v>
      </c>
    </row>
    <row r="267" spans="1:10" x14ac:dyDescent="0.35">
      <c r="A267" s="1">
        <v>2008</v>
      </c>
      <c r="B267" t="s">
        <v>24</v>
      </c>
      <c r="C267">
        <v>72</v>
      </c>
      <c r="D267">
        <v>90</v>
      </c>
      <c r="E267">
        <v>640</v>
      </c>
      <c r="F267">
        <v>759</v>
      </c>
      <c r="G267" s="45">
        <f t="shared" si="22"/>
        <v>0.8432147562582345</v>
      </c>
      <c r="H267" s="41">
        <f t="shared" si="23"/>
        <v>0.41555026423356034</v>
      </c>
      <c r="I267" s="45">
        <f t="shared" si="20"/>
        <v>0.44444444444444442</v>
      </c>
      <c r="J267" s="45">
        <f t="shared" si="21"/>
        <v>2.889418021088408E-2</v>
      </c>
    </row>
    <row r="268" spans="1:10" x14ac:dyDescent="0.35">
      <c r="A268" s="1">
        <v>2008</v>
      </c>
      <c r="B268" t="s">
        <v>25</v>
      </c>
      <c r="C268">
        <v>86</v>
      </c>
      <c r="D268">
        <v>76</v>
      </c>
      <c r="E268">
        <v>779</v>
      </c>
      <c r="F268">
        <v>725</v>
      </c>
      <c r="G268" s="45">
        <f t="shared" si="22"/>
        <v>1.0744827586206898</v>
      </c>
      <c r="H268" s="41">
        <f t="shared" si="23"/>
        <v>0.53585803017485734</v>
      </c>
      <c r="I268" s="45">
        <f t="shared" si="20"/>
        <v>0.53086419753086422</v>
      </c>
      <c r="J268" s="45">
        <f t="shared" si="21"/>
        <v>4.9938326439931124E-3</v>
      </c>
    </row>
    <row r="269" spans="1:10" x14ac:dyDescent="0.35">
      <c r="A269" s="1">
        <v>2008</v>
      </c>
      <c r="B269" t="s">
        <v>26</v>
      </c>
      <c r="C269">
        <v>97</v>
      </c>
      <c r="D269">
        <v>65</v>
      </c>
      <c r="E269">
        <v>774</v>
      </c>
      <c r="F269">
        <v>671</v>
      </c>
      <c r="G269" s="45">
        <f t="shared" si="22"/>
        <v>1.1535022354694486</v>
      </c>
      <c r="H269" s="41">
        <f t="shared" si="23"/>
        <v>0.57091994125702716</v>
      </c>
      <c r="I269" s="45">
        <f t="shared" si="20"/>
        <v>0.59876543209876543</v>
      </c>
      <c r="J269" s="45">
        <f t="shared" si="21"/>
        <v>2.7845490841738263E-2</v>
      </c>
    </row>
    <row r="270" spans="1:10" x14ac:dyDescent="0.35">
      <c r="A270" s="1">
        <v>2008</v>
      </c>
      <c r="B270" t="s">
        <v>27</v>
      </c>
      <c r="C270">
        <v>79</v>
      </c>
      <c r="D270">
        <v>83</v>
      </c>
      <c r="E270">
        <v>901</v>
      </c>
      <c r="F270">
        <v>967</v>
      </c>
      <c r="G270" s="45">
        <f t="shared" si="22"/>
        <v>0.93174767321613239</v>
      </c>
      <c r="H270" s="41">
        <f t="shared" si="23"/>
        <v>0.46471214558443863</v>
      </c>
      <c r="I270" s="45">
        <f t="shared" si="20"/>
        <v>0.48765432098765432</v>
      </c>
      <c r="J270" s="45">
        <f t="shared" si="21"/>
        <v>2.2942175403215692E-2</v>
      </c>
    </row>
    <row r="271" spans="1:10" x14ac:dyDescent="0.35">
      <c r="A271" s="1">
        <v>2008</v>
      </c>
      <c r="B271" t="s">
        <v>28</v>
      </c>
      <c r="C271">
        <v>86</v>
      </c>
      <c r="D271">
        <v>76</v>
      </c>
      <c r="E271">
        <v>714</v>
      </c>
      <c r="F271">
        <v>610</v>
      </c>
      <c r="G271" s="45">
        <f t="shared" si="22"/>
        <v>1.1704918032786886</v>
      </c>
      <c r="H271" s="41">
        <f t="shared" si="23"/>
        <v>0.57806816223228141</v>
      </c>
      <c r="I271" s="45">
        <f t="shared" si="20"/>
        <v>0.53086419753086422</v>
      </c>
      <c r="J271" s="45">
        <f t="shared" si="21"/>
        <v>4.7203964701417189E-2</v>
      </c>
    </row>
    <row r="272" spans="1:10" x14ac:dyDescent="0.35">
      <c r="A272" s="1">
        <v>2008</v>
      </c>
      <c r="B272" t="s">
        <v>29</v>
      </c>
      <c r="C272">
        <v>59</v>
      </c>
      <c r="D272">
        <v>102</v>
      </c>
      <c r="E272">
        <v>641</v>
      </c>
      <c r="F272">
        <v>825</v>
      </c>
      <c r="G272" s="45">
        <f t="shared" si="22"/>
        <v>0.77696969696969698</v>
      </c>
      <c r="H272" s="41">
        <f t="shared" si="23"/>
        <v>0.37643494401313415</v>
      </c>
      <c r="I272" s="45">
        <f t="shared" si="20"/>
        <v>0.36419753086419754</v>
      </c>
      <c r="J272" s="45">
        <f t="shared" si="21"/>
        <v>1.2237413148936616E-2</v>
      </c>
    </row>
    <row r="273" spans="1:10" x14ac:dyDescent="0.35">
      <c r="A273" s="1">
        <v>2007</v>
      </c>
      <c r="B273" t="s">
        <v>0</v>
      </c>
      <c r="C273">
        <v>90</v>
      </c>
      <c r="D273">
        <v>72</v>
      </c>
      <c r="E273">
        <v>712</v>
      </c>
      <c r="F273">
        <v>732</v>
      </c>
      <c r="G273" s="45">
        <f t="shared" si="22"/>
        <v>0.97267759562841527</v>
      </c>
      <c r="H273" s="41">
        <f t="shared" si="23"/>
        <v>0.4861522409586792</v>
      </c>
      <c r="I273" s="45">
        <f t="shared" si="20"/>
        <v>0.55555555555555558</v>
      </c>
      <c r="J273" s="45">
        <f t="shared" si="21"/>
        <v>6.9403314596876375E-2</v>
      </c>
    </row>
    <row r="274" spans="1:10" x14ac:dyDescent="0.35">
      <c r="A274" s="1">
        <v>2007</v>
      </c>
      <c r="B274" t="s">
        <v>1</v>
      </c>
      <c r="C274">
        <v>84</v>
      </c>
      <c r="D274">
        <v>78</v>
      </c>
      <c r="E274">
        <v>810</v>
      </c>
      <c r="F274">
        <v>733</v>
      </c>
      <c r="G274" s="45">
        <f t="shared" si="22"/>
        <v>1.1050477489768076</v>
      </c>
      <c r="H274" s="41">
        <f t="shared" si="23"/>
        <v>0.54977882316662885</v>
      </c>
      <c r="I274" s="45">
        <f t="shared" si="20"/>
        <v>0.51851851851851849</v>
      </c>
      <c r="J274" s="45">
        <f t="shared" si="21"/>
        <v>3.126030464811036E-2</v>
      </c>
    </row>
    <row r="275" spans="1:10" x14ac:dyDescent="0.35">
      <c r="A275" s="1">
        <v>2007</v>
      </c>
      <c r="B275" t="s">
        <v>2</v>
      </c>
      <c r="C275">
        <v>69</v>
      </c>
      <c r="D275">
        <v>93</v>
      </c>
      <c r="E275">
        <v>756</v>
      </c>
      <c r="F275">
        <v>868</v>
      </c>
      <c r="G275" s="45">
        <f t="shared" si="22"/>
        <v>0.87096774193548387</v>
      </c>
      <c r="H275" s="41">
        <f t="shared" si="23"/>
        <v>0.43136094674556208</v>
      </c>
      <c r="I275" s="45">
        <f t="shared" si="20"/>
        <v>0.42592592592592593</v>
      </c>
      <c r="J275" s="45">
        <f t="shared" si="21"/>
        <v>5.4350208196361494E-3</v>
      </c>
    </row>
    <row r="276" spans="1:10" x14ac:dyDescent="0.35">
      <c r="A276" s="1">
        <v>2007</v>
      </c>
      <c r="B276" t="s">
        <v>3</v>
      </c>
      <c r="C276">
        <v>96</v>
      </c>
      <c r="D276">
        <v>66</v>
      </c>
      <c r="E276">
        <v>867</v>
      </c>
      <c r="F276">
        <v>657</v>
      </c>
      <c r="G276" s="45">
        <f t="shared" si="22"/>
        <v>1.3196347031963471</v>
      </c>
      <c r="H276" s="41">
        <f t="shared" si="23"/>
        <v>0.63522763572200003</v>
      </c>
      <c r="I276" s="45">
        <f t="shared" si="20"/>
        <v>0.59259259259259256</v>
      </c>
      <c r="J276" s="45">
        <f t="shared" si="21"/>
        <v>4.2635043129407468E-2</v>
      </c>
    </row>
    <row r="277" spans="1:10" x14ac:dyDescent="0.35">
      <c r="A277" s="1">
        <v>2007</v>
      </c>
      <c r="B277" t="s">
        <v>4</v>
      </c>
      <c r="C277">
        <v>85</v>
      </c>
      <c r="D277">
        <v>77</v>
      </c>
      <c r="E277">
        <v>752</v>
      </c>
      <c r="F277">
        <v>690</v>
      </c>
      <c r="G277" s="45">
        <f t="shared" si="22"/>
        <v>1.0898550724637681</v>
      </c>
      <c r="H277" s="41">
        <f t="shared" si="23"/>
        <v>0.54291650185675178</v>
      </c>
      <c r="I277" s="45">
        <f t="shared" si="20"/>
        <v>0.52469135802469136</v>
      </c>
      <c r="J277" s="45">
        <f t="shared" si="21"/>
        <v>1.822514383206042E-2</v>
      </c>
    </row>
    <row r="278" spans="1:10" x14ac:dyDescent="0.35">
      <c r="A278" s="1">
        <v>2007</v>
      </c>
      <c r="B278" t="s">
        <v>5</v>
      </c>
      <c r="C278">
        <v>72</v>
      </c>
      <c r="D278">
        <v>90</v>
      </c>
      <c r="E278">
        <v>693</v>
      </c>
      <c r="F278">
        <v>839</v>
      </c>
      <c r="G278" s="45">
        <f t="shared" si="22"/>
        <v>0.8259833134684148</v>
      </c>
      <c r="H278" s="41">
        <f t="shared" si="23"/>
        <v>0.40555747907817291</v>
      </c>
      <c r="I278" s="45">
        <f t="shared" si="20"/>
        <v>0.44444444444444442</v>
      </c>
      <c r="J278" s="45">
        <f t="shared" si="21"/>
        <v>3.8886965366271509E-2</v>
      </c>
    </row>
    <row r="279" spans="1:10" x14ac:dyDescent="0.35">
      <c r="A279" s="1">
        <v>2007</v>
      </c>
      <c r="B279" t="s">
        <v>6</v>
      </c>
      <c r="C279">
        <v>72</v>
      </c>
      <c r="D279">
        <v>90</v>
      </c>
      <c r="E279">
        <v>783</v>
      </c>
      <c r="F279">
        <v>853</v>
      </c>
      <c r="G279" s="45">
        <f t="shared" si="22"/>
        <v>0.91793669402110201</v>
      </c>
      <c r="H279" s="41">
        <f t="shared" si="23"/>
        <v>0.45729090369344927</v>
      </c>
      <c r="I279" s="45">
        <f t="shared" si="20"/>
        <v>0.44444444444444442</v>
      </c>
      <c r="J279" s="45">
        <f t="shared" si="21"/>
        <v>1.2846459249004849E-2</v>
      </c>
    </row>
    <row r="280" spans="1:10" x14ac:dyDescent="0.35">
      <c r="A280" s="1">
        <v>2007</v>
      </c>
      <c r="B280" t="s">
        <v>7</v>
      </c>
      <c r="C280">
        <v>96</v>
      </c>
      <c r="D280">
        <v>66</v>
      </c>
      <c r="E280">
        <v>811</v>
      </c>
      <c r="F280">
        <v>704</v>
      </c>
      <c r="G280" s="45">
        <f t="shared" si="22"/>
        <v>1.1519886363636365</v>
      </c>
      <c r="H280" s="41">
        <f t="shared" si="23"/>
        <v>0.57027651068161345</v>
      </c>
      <c r="I280" s="45">
        <f t="shared" si="20"/>
        <v>0.59259259259259256</v>
      </c>
      <c r="J280" s="45">
        <f t="shared" si="21"/>
        <v>2.2316081910979113E-2</v>
      </c>
    </row>
    <row r="281" spans="1:10" x14ac:dyDescent="0.35">
      <c r="A281" s="1">
        <v>2007</v>
      </c>
      <c r="B281" t="s">
        <v>8</v>
      </c>
      <c r="C281">
        <v>90</v>
      </c>
      <c r="D281">
        <v>73</v>
      </c>
      <c r="E281">
        <v>860</v>
      </c>
      <c r="F281">
        <v>758</v>
      </c>
      <c r="G281" s="45">
        <f t="shared" si="22"/>
        <v>1.1345646437994723</v>
      </c>
      <c r="H281" s="41">
        <f t="shared" si="23"/>
        <v>0.56279124979835093</v>
      </c>
      <c r="I281" s="45">
        <f t="shared" si="20"/>
        <v>0.55555555555555558</v>
      </c>
      <c r="J281" s="45">
        <f t="shared" si="21"/>
        <v>7.2356942427953541E-3</v>
      </c>
    </row>
    <row r="282" spans="1:10" x14ac:dyDescent="0.35">
      <c r="A282" s="1">
        <v>2007</v>
      </c>
      <c r="B282" t="s">
        <v>9</v>
      </c>
      <c r="C282">
        <v>88</v>
      </c>
      <c r="D282">
        <v>74</v>
      </c>
      <c r="E282">
        <v>887</v>
      </c>
      <c r="F282">
        <v>797</v>
      </c>
      <c r="G282" s="45">
        <f t="shared" si="22"/>
        <v>1.1129234629861982</v>
      </c>
      <c r="H282" s="41">
        <f t="shared" si="23"/>
        <v>0.5532919637293966</v>
      </c>
      <c r="I282" s="45">
        <f t="shared" si="20"/>
        <v>0.54320987654320985</v>
      </c>
      <c r="J282" s="45">
        <f t="shared" si="21"/>
        <v>1.008208718618675E-2</v>
      </c>
    </row>
    <row r="283" spans="1:10" x14ac:dyDescent="0.35">
      <c r="A283" s="1">
        <v>2007</v>
      </c>
      <c r="B283" t="s">
        <v>43</v>
      </c>
      <c r="C283">
        <v>71</v>
      </c>
      <c r="D283">
        <v>91</v>
      </c>
      <c r="E283">
        <v>790</v>
      </c>
      <c r="F283">
        <v>891</v>
      </c>
      <c r="G283" s="45">
        <f t="shared" si="22"/>
        <v>0.88664421997755327</v>
      </c>
      <c r="H283" s="41">
        <f t="shared" si="23"/>
        <v>0.44013283675874354</v>
      </c>
      <c r="I283" s="45">
        <f t="shared" si="20"/>
        <v>0.43827160493827161</v>
      </c>
      <c r="J283" s="45">
        <f t="shared" si="21"/>
        <v>1.8612318204719314E-3</v>
      </c>
    </row>
    <row r="284" spans="1:10" x14ac:dyDescent="0.35">
      <c r="A284" s="1">
        <v>2007</v>
      </c>
      <c r="B284" t="s">
        <v>10</v>
      </c>
      <c r="C284">
        <v>73</v>
      </c>
      <c r="D284">
        <v>89</v>
      </c>
      <c r="E284">
        <v>723</v>
      </c>
      <c r="F284">
        <v>813</v>
      </c>
      <c r="G284" s="45">
        <f t="shared" si="22"/>
        <v>0.88929889298892983</v>
      </c>
      <c r="H284" s="41">
        <f t="shared" si="23"/>
        <v>0.44160672739161511</v>
      </c>
      <c r="I284" s="45">
        <f t="shared" si="20"/>
        <v>0.45061728395061729</v>
      </c>
      <c r="J284" s="45">
        <f t="shared" si="21"/>
        <v>9.0105565590021808E-3</v>
      </c>
    </row>
    <row r="285" spans="1:10" x14ac:dyDescent="0.35">
      <c r="A285" s="1">
        <v>2007</v>
      </c>
      <c r="B285" t="s">
        <v>11</v>
      </c>
      <c r="C285">
        <v>69</v>
      </c>
      <c r="D285">
        <v>93</v>
      </c>
      <c r="E285">
        <v>706</v>
      </c>
      <c r="F285">
        <v>778</v>
      </c>
      <c r="G285" s="45">
        <f t="shared" si="22"/>
        <v>0.90745501285347041</v>
      </c>
      <c r="H285" s="41">
        <f t="shared" si="23"/>
        <v>0.45159641938172723</v>
      </c>
      <c r="I285" s="45">
        <f t="shared" ref="I285:I348" si="24">C285/162</f>
        <v>0.42592592592592593</v>
      </c>
      <c r="J285" s="45">
        <f t="shared" ref="J285:J348" si="25">ABS(H285-I285)</f>
        <v>2.5670493455801302E-2</v>
      </c>
    </row>
    <row r="286" spans="1:10" x14ac:dyDescent="0.35">
      <c r="A286" s="1">
        <v>2007</v>
      </c>
      <c r="B286" t="s">
        <v>12</v>
      </c>
      <c r="C286">
        <v>94</v>
      </c>
      <c r="D286">
        <v>68</v>
      </c>
      <c r="E286">
        <v>822</v>
      </c>
      <c r="F286">
        <v>731</v>
      </c>
      <c r="G286" s="45">
        <f t="shared" si="22"/>
        <v>1.1244870041039672</v>
      </c>
      <c r="H286" s="41">
        <f t="shared" si="23"/>
        <v>0.55839576214107745</v>
      </c>
      <c r="I286" s="45">
        <f t="shared" si="24"/>
        <v>0.58024691358024694</v>
      </c>
      <c r="J286" s="45">
        <f t="shared" si="25"/>
        <v>2.1851151439169492E-2</v>
      </c>
    </row>
    <row r="287" spans="1:10" x14ac:dyDescent="0.35">
      <c r="A287" s="1">
        <v>2007</v>
      </c>
      <c r="B287" t="s">
        <v>13</v>
      </c>
      <c r="C287">
        <v>82</v>
      </c>
      <c r="D287">
        <v>80</v>
      </c>
      <c r="E287">
        <v>735</v>
      </c>
      <c r="F287">
        <v>727</v>
      </c>
      <c r="G287" s="45">
        <f t="shared" si="22"/>
        <v>1.0110041265474552</v>
      </c>
      <c r="H287" s="41">
        <f t="shared" si="23"/>
        <v>0.50547179238627404</v>
      </c>
      <c r="I287" s="45">
        <f t="shared" si="24"/>
        <v>0.50617283950617287</v>
      </c>
      <c r="J287" s="45">
        <f t="shared" si="25"/>
        <v>7.0104711989882329E-4</v>
      </c>
    </row>
    <row r="288" spans="1:10" x14ac:dyDescent="0.35">
      <c r="A288" s="1">
        <v>2007</v>
      </c>
      <c r="B288" t="s">
        <v>15</v>
      </c>
      <c r="C288">
        <v>83</v>
      </c>
      <c r="D288">
        <v>79</v>
      </c>
      <c r="E288">
        <v>801</v>
      </c>
      <c r="F288">
        <v>776</v>
      </c>
      <c r="G288" s="45">
        <f t="shared" si="22"/>
        <v>1.0322164948453609</v>
      </c>
      <c r="H288" s="41">
        <f t="shared" si="23"/>
        <v>0.51584890217458601</v>
      </c>
      <c r="I288" s="45">
        <f t="shared" si="24"/>
        <v>0.51234567901234573</v>
      </c>
      <c r="J288" s="45">
        <f t="shared" si="25"/>
        <v>3.5032231622402765E-3</v>
      </c>
    </row>
    <row r="289" spans="1:10" x14ac:dyDescent="0.35">
      <c r="A289" s="1">
        <v>2007</v>
      </c>
      <c r="B289" t="s">
        <v>16</v>
      </c>
      <c r="C289">
        <v>79</v>
      </c>
      <c r="D289">
        <v>83</v>
      </c>
      <c r="E289">
        <v>718</v>
      </c>
      <c r="F289">
        <v>725</v>
      </c>
      <c r="G289" s="45">
        <f t="shared" si="22"/>
        <v>0.9903448275862069</v>
      </c>
      <c r="H289" s="41">
        <f t="shared" si="23"/>
        <v>0.49514910930135836</v>
      </c>
      <c r="I289" s="45">
        <f t="shared" si="24"/>
        <v>0.48765432098765432</v>
      </c>
      <c r="J289" s="45">
        <f t="shared" si="25"/>
        <v>7.4947883137040372E-3</v>
      </c>
    </row>
    <row r="290" spans="1:10" x14ac:dyDescent="0.35">
      <c r="A290" s="1">
        <v>2007</v>
      </c>
      <c r="B290" t="s">
        <v>17</v>
      </c>
      <c r="C290">
        <v>88</v>
      </c>
      <c r="D290">
        <v>74</v>
      </c>
      <c r="E290">
        <v>804</v>
      </c>
      <c r="F290">
        <v>750</v>
      </c>
      <c r="G290" s="45">
        <f t="shared" si="22"/>
        <v>1.0720000000000001</v>
      </c>
      <c r="H290" s="41">
        <f t="shared" si="23"/>
        <v>0.53470712605342319</v>
      </c>
      <c r="I290" s="45">
        <f t="shared" si="24"/>
        <v>0.54320987654320985</v>
      </c>
      <c r="J290" s="45">
        <f t="shared" si="25"/>
        <v>8.502750489786659E-3</v>
      </c>
    </row>
    <row r="291" spans="1:10" x14ac:dyDescent="0.35">
      <c r="A291" s="1">
        <v>2007</v>
      </c>
      <c r="B291" t="s">
        <v>18</v>
      </c>
      <c r="C291">
        <v>94</v>
      </c>
      <c r="D291">
        <v>68</v>
      </c>
      <c r="E291">
        <v>968</v>
      </c>
      <c r="F291">
        <v>777</v>
      </c>
      <c r="G291" s="45">
        <f t="shared" si="22"/>
        <v>1.2458172458172458</v>
      </c>
      <c r="H291" s="41">
        <f t="shared" si="23"/>
        <v>0.60815977642100971</v>
      </c>
      <c r="I291" s="45">
        <f t="shared" si="24"/>
        <v>0.58024691358024694</v>
      </c>
      <c r="J291" s="45">
        <f t="shared" si="25"/>
        <v>2.7912862840762775E-2</v>
      </c>
    </row>
    <row r="292" spans="1:10" x14ac:dyDescent="0.35">
      <c r="A292" s="1">
        <v>2007</v>
      </c>
      <c r="B292" t="s">
        <v>19</v>
      </c>
      <c r="C292">
        <v>76</v>
      </c>
      <c r="D292">
        <v>86</v>
      </c>
      <c r="E292">
        <v>741</v>
      </c>
      <c r="F292">
        <v>758</v>
      </c>
      <c r="G292" s="45">
        <f t="shared" si="22"/>
        <v>0.97757255936675458</v>
      </c>
      <c r="H292" s="41">
        <f t="shared" si="23"/>
        <v>0.48866056450213369</v>
      </c>
      <c r="I292" s="45">
        <f t="shared" si="24"/>
        <v>0.46913580246913578</v>
      </c>
      <c r="J292" s="45">
        <f t="shared" si="25"/>
        <v>1.9524762032997911E-2</v>
      </c>
    </row>
    <row r="293" spans="1:10" x14ac:dyDescent="0.35">
      <c r="A293" s="1">
        <v>2007</v>
      </c>
      <c r="B293" t="s">
        <v>20</v>
      </c>
      <c r="C293">
        <v>89</v>
      </c>
      <c r="D293">
        <v>73</v>
      </c>
      <c r="E293">
        <v>892</v>
      </c>
      <c r="F293">
        <v>821</v>
      </c>
      <c r="G293" s="45">
        <f t="shared" si="22"/>
        <v>1.0864799025578562</v>
      </c>
      <c r="H293" s="41">
        <f t="shared" si="23"/>
        <v>0.54137667082849961</v>
      </c>
      <c r="I293" s="45">
        <f t="shared" si="24"/>
        <v>0.54938271604938271</v>
      </c>
      <c r="J293" s="45">
        <f t="shared" si="25"/>
        <v>8.0060452208831068E-3</v>
      </c>
    </row>
    <row r="294" spans="1:10" x14ac:dyDescent="0.35">
      <c r="A294" s="1">
        <v>2007</v>
      </c>
      <c r="B294" t="s">
        <v>21</v>
      </c>
      <c r="C294">
        <v>68</v>
      </c>
      <c r="D294">
        <v>94</v>
      </c>
      <c r="E294">
        <v>724</v>
      </c>
      <c r="F294">
        <v>846</v>
      </c>
      <c r="G294" s="45">
        <f t="shared" si="22"/>
        <v>0.85579196217494091</v>
      </c>
      <c r="H294" s="41">
        <f t="shared" si="23"/>
        <v>0.42275940162530284</v>
      </c>
      <c r="I294" s="45">
        <f t="shared" si="24"/>
        <v>0.41975308641975306</v>
      </c>
      <c r="J294" s="45">
        <f t="shared" si="25"/>
        <v>3.006315205549781E-3</v>
      </c>
    </row>
    <row r="295" spans="1:10" x14ac:dyDescent="0.35">
      <c r="A295" s="1">
        <v>2007</v>
      </c>
      <c r="B295" t="s">
        <v>22</v>
      </c>
      <c r="C295">
        <v>89</v>
      </c>
      <c r="D295">
        <v>74</v>
      </c>
      <c r="E295">
        <v>741</v>
      </c>
      <c r="F295">
        <v>666</v>
      </c>
      <c r="G295" s="45">
        <f t="shared" si="22"/>
        <v>1.1126126126126126</v>
      </c>
      <c r="H295" s="41">
        <f t="shared" si="23"/>
        <v>0.55315387195923582</v>
      </c>
      <c r="I295" s="45">
        <f t="shared" si="24"/>
        <v>0.54938271604938271</v>
      </c>
      <c r="J295" s="45">
        <f t="shared" si="25"/>
        <v>3.7711559098531078E-3</v>
      </c>
    </row>
    <row r="296" spans="1:10" x14ac:dyDescent="0.35">
      <c r="A296" s="1">
        <v>2007</v>
      </c>
      <c r="B296" t="s">
        <v>23</v>
      </c>
      <c r="C296">
        <v>88</v>
      </c>
      <c r="D296">
        <v>74</v>
      </c>
      <c r="E296">
        <v>794</v>
      </c>
      <c r="F296">
        <v>813</v>
      </c>
      <c r="G296" s="45">
        <f t="shared" si="22"/>
        <v>0.97662976629766296</v>
      </c>
      <c r="H296" s="41">
        <f t="shared" si="23"/>
        <v>0.48817837936201269</v>
      </c>
      <c r="I296" s="45">
        <f t="shared" si="24"/>
        <v>0.54320987654320985</v>
      </c>
      <c r="J296" s="45">
        <f t="shared" si="25"/>
        <v>5.5031497181197153E-2</v>
      </c>
    </row>
    <row r="297" spans="1:10" x14ac:dyDescent="0.35">
      <c r="A297" s="1">
        <v>2007</v>
      </c>
      <c r="B297" t="s">
        <v>24</v>
      </c>
      <c r="C297">
        <v>71</v>
      </c>
      <c r="D297">
        <v>91</v>
      </c>
      <c r="E297">
        <v>683</v>
      </c>
      <c r="F297">
        <v>720</v>
      </c>
      <c r="G297" s="45">
        <f t="shared" si="22"/>
        <v>0.94861111111111107</v>
      </c>
      <c r="H297" s="41">
        <f t="shared" si="23"/>
        <v>0.47364626876734328</v>
      </c>
      <c r="I297" s="45">
        <f t="shared" si="24"/>
        <v>0.43827160493827161</v>
      </c>
      <c r="J297" s="45">
        <f t="shared" si="25"/>
        <v>3.5374663829071673E-2</v>
      </c>
    </row>
    <row r="298" spans="1:10" x14ac:dyDescent="0.35">
      <c r="A298" s="1">
        <v>2007</v>
      </c>
      <c r="B298" t="s">
        <v>25</v>
      </c>
      <c r="C298">
        <v>78</v>
      </c>
      <c r="D298">
        <v>84</v>
      </c>
      <c r="E298">
        <v>725</v>
      </c>
      <c r="F298">
        <v>829</v>
      </c>
      <c r="G298" s="45">
        <f t="shared" si="22"/>
        <v>0.87454764776839566</v>
      </c>
      <c r="H298" s="41">
        <f t="shared" si="23"/>
        <v>0.43337433813793108</v>
      </c>
      <c r="I298" s="45">
        <f t="shared" si="24"/>
        <v>0.48148148148148145</v>
      </c>
      <c r="J298" s="45">
        <f t="shared" si="25"/>
        <v>4.8107143343550374E-2</v>
      </c>
    </row>
    <row r="299" spans="1:10" x14ac:dyDescent="0.35">
      <c r="A299" s="1">
        <v>2007</v>
      </c>
      <c r="B299" t="s">
        <v>44</v>
      </c>
      <c r="C299">
        <v>66</v>
      </c>
      <c r="D299">
        <v>96</v>
      </c>
      <c r="E299">
        <v>782</v>
      </c>
      <c r="F299">
        <v>944</v>
      </c>
      <c r="G299" s="45">
        <f t="shared" si="22"/>
        <v>0.82838983050847459</v>
      </c>
      <c r="H299" s="41">
        <f t="shared" si="23"/>
        <v>0.40696098917918888</v>
      </c>
      <c r="I299" s="45">
        <f t="shared" si="24"/>
        <v>0.40740740740740738</v>
      </c>
      <c r="J299" s="45">
        <f t="shared" si="25"/>
        <v>4.4641822821850363E-4</v>
      </c>
    </row>
    <row r="300" spans="1:10" x14ac:dyDescent="0.35">
      <c r="A300" s="1">
        <v>2007</v>
      </c>
      <c r="B300" t="s">
        <v>27</v>
      </c>
      <c r="C300">
        <v>75</v>
      </c>
      <c r="D300">
        <v>87</v>
      </c>
      <c r="E300">
        <v>816</v>
      </c>
      <c r="F300">
        <v>844</v>
      </c>
      <c r="G300" s="45">
        <f t="shared" si="22"/>
        <v>0.96682464454976302</v>
      </c>
      <c r="H300" s="41">
        <f t="shared" si="23"/>
        <v>0.48313732774533591</v>
      </c>
      <c r="I300" s="45">
        <f t="shared" si="24"/>
        <v>0.46296296296296297</v>
      </c>
      <c r="J300" s="45">
        <f t="shared" si="25"/>
        <v>2.0174364782372944E-2</v>
      </c>
    </row>
    <row r="301" spans="1:10" x14ac:dyDescent="0.35">
      <c r="A301" s="1">
        <v>2007</v>
      </c>
      <c r="B301" t="s">
        <v>28</v>
      </c>
      <c r="C301">
        <v>83</v>
      </c>
      <c r="D301">
        <v>79</v>
      </c>
      <c r="E301">
        <v>753</v>
      </c>
      <c r="F301">
        <v>699</v>
      </c>
      <c r="G301" s="45">
        <f t="shared" si="22"/>
        <v>1.0772532188841202</v>
      </c>
      <c r="H301" s="41">
        <f t="shared" si="23"/>
        <v>0.53713871600306939</v>
      </c>
      <c r="I301" s="45">
        <f t="shared" si="24"/>
        <v>0.51234567901234573</v>
      </c>
      <c r="J301" s="45">
        <f t="shared" si="25"/>
        <v>2.479303699072366E-2</v>
      </c>
    </row>
    <row r="302" spans="1:10" x14ac:dyDescent="0.35">
      <c r="A302" s="1">
        <v>2007</v>
      </c>
      <c r="B302" t="s">
        <v>29</v>
      </c>
      <c r="C302">
        <v>73</v>
      </c>
      <c r="D302">
        <v>89</v>
      </c>
      <c r="E302">
        <v>673</v>
      </c>
      <c r="F302">
        <v>783</v>
      </c>
      <c r="G302" s="45">
        <f t="shared" si="22"/>
        <v>0.85951468710089396</v>
      </c>
      <c r="H302" s="41">
        <f t="shared" si="23"/>
        <v>0.42487931723479339</v>
      </c>
      <c r="I302" s="45">
        <f t="shared" si="24"/>
        <v>0.45061728395061729</v>
      </c>
      <c r="J302" s="45">
        <f t="shared" si="25"/>
        <v>2.5737966715823901E-2</v>
      </c>
    </row>
    <row r="303" spans="1:10" x14ac:dyDescent="0.35">
      <c r="A303" s="1">
        <v>2006</v>
      </c>
      <c r="B303" t="s">
        <v>0</v>
      </c>
      <c r="C303">
        <v>76</v>
      </c>
      <c r="D303">
        <v>86</v>
      </c>
      <c r="E303">
        <v>773</v>
      </c>
      <c r="F303">
        <v>788</v>
      </c>
      <c r="G303" s="45">
        <f t="shared" si="22"/>
        <v>0.98096446700507611</v>
      </c>
      <c r="H303" s="41">
        <f t="shared" si="23"/>
        <v>0.49039166235115589</v>
      </c>
      <c r="I303" s="45">
        <f t="shared" si="24"/>
        <v>0.46913580246913578</v>
      </c>
      <c r="J303" s="45">
        <f t="shared" si="25"/>
        <v>2.1255859882020112E-2</v>
      </c>
    </row>
    <row r="304" spans="1:10" x14ac:dyDescent="0.35">
      <c r="A304" s="1">
        <v>2006</v>
      </c>
      <c r="B304" t="s">
        <v>1</v>
      </c>
      <c r="C304">
        <v>79</v>
      </c>
      <c r="D304">
        <v>83</v>
      </c>
      <c r="E304">
        <v>849</v>
      </c>
      <c r="F304">
        <v>805</v>
      </c>
      <c r="G304" s="45">
        <f t="shared" si="22"/>
        <v>1.0546583850931677</v>
      </c>
      <c r="H304" s="41">
        <f t="shared" si="23"/>
        <v>0.52658336413832008</v>
      </c>
      <c r="I304" s="45">
        <f t="shared" si="24"/>
        <v>0.48765432098765432</v>
      </c>
      <c r="J304" s="45">
        <f t="shared" si="25"/>
        <v>3.8929043150665754E-2</v>
      </c>
    </row>
    <row r="305" spans="1:10" x14ac:dyDescent="0.35">
      <c r="A305" s="1">
        <v>2006</v>
      </c>
      <c r="B305" t="s">
        <v>2</v>
      </c>
      <c r="C305">
        <v>70</v>
      </c>
      <c r="D305">
        <v>92</v>
      </c>
      <c r="E305">
        <v>768</v>
      </c>
      <c r="F305">
        <v>899</v>
      </c>
      <c r="G305" s="45">
        <f t="shared" si="22"/>
        <v>0.85428253615127925</v>
      </c>
      <c r="H305" s="41">
        <f t="shared" si="23"/>
        <v>0.4218980347275621</v>
      </c>
      <c r="I305" s="45">
        <f t="shared" si="24"/>
        <v>0.43209876543209874</v>
      </c>
      <c r="J305" s="45">
        <f t="shared" si="25"/>
        <v>1.0200730704536642E-2</v>
      </c>
    </row>
    <row r="306" spans="1:10" x14ac:dyDescent="0.35">
      <c r="A306" s="1">
        <v>2006</v>
      </c>
      <c r="B306" t="s">
        <v>3</v>
      </c>
      <c r="C306">
        <v>86</v>
      </c>
      <c r="D306">
        <v>76</v>
      </c>
      <c r="E306">
        <v>820</v>
      </c>
      <c r="F306">
        <v>825</v>
      </c>
      <c r="G306" s="45">
        <f t="shared" si="22"/>
        <v>0.9939393939393939</v>
      </c>
      <c r="H306" s="41">
        <f t="shared" si="23"/>
        <v>0.496960514402912</v>
      </c>
      <c r="I306" s="45">
        <f t="shared" si="24"/>
        <v>0.53086419753086422</v>
      </c>
      <c r="J306" s="45">
        <f t="shared" si="25"/>
        <v>3.3903683127952222E-2</v>
      </c>
    </row>
    <row r="307" spans="1:10" x14ac:dyDescent="0.35">
      <c r="A307" s="1">
        <v>2006</v>
      </c>
      <c r="B307" t="s">
        <v>4</v>
      </c>
      <c r="C307">
        <v>66</v>
      </c>
      <c r="D307">
        <v>96</v>
      </c>
      <c r="E307">
        <v>716</v>
      </c>
      <c r="F307">
        <v>834</v>
      </c>
      <c r="G307" s="45">
        <f t="shared" si="22"/>
        <v>0.85851318944844124</v>
      </c>
      <c r="H307" s="41">
        <f t="shared" si="23"/>
        <v>0.42430964102326413</v>
      </c>
      <c r="I307" s="45">
        <f t="shared" si="24"/>
        <v>0.40740740740740738</v>
      </c>
      <c r="J307" s="45">
        <f t="shared" si="25"/>
        <v>1.6902233615856743E-2</v>
      </c>
    </row>
    <row r="308" spans="1:10" x14ac:dyDescent="0.35">
      <c r="A308" s="1">
        <v>2006</v>
      </c>
      <c r="B308" t="s">
        <v>5</v>
      </c>
      <c r="C308">
        <v>90</v>
      </c>
      <c r="D308">
        <v>72</v>
      </c>
      <c r="E308">
        <v>868</v>
      </c>
      <c r="F308">
        <v>794</v>
      </c>
      <c r="G308" s="45">
        <f t="shared" si="22"/>
        <v>1.093198992443325</v>
      </c>
      <c r="H308" s="41">
        <f t="shared" si="23"/>
        <v>0.54443657595421502</v>
      </c>
      <c r="I308" s="45">
        <f t="shared" si="24"/>
        <v>0.55555555555555558</v>
      </c>
      <c r="J308" s="45">
        <f t="shared" si="25"/>
        <v>1.1118979601340562E-2</v>
      </c>
    </row>
    <row r="309" spans="1:10" x14ac:dyDescent="0.35">
      <c r="A309" s="1">
        <v>2006</v>
      </c>
      <c r="B309" t="s">
        <v>6</v>
      </c>
      <c r="C309">
        <v>80</v>
      </c>
      <c r="D309">
        <v>82</v>
      </c>
      <c r="E309">
        <v>749</v>
      </c>
      <c r="F309">
        <v>801</v>
      </c>
      <c r="G309" s="45">
        <f t="shared" si="22"/>
        <v>0.93508114856429458</v>
      </c>
      <c r="H309" s="41">
        <f t="shared" si="23"/>
        <v>0.46648932897167977</v>
      </c>
      <c r="I309" s="45">
        <f t="shared" si="24"/>
        <v>0.49382716049382713</v>
      </c>
      <c r="J309" s="45">
        <f t="shared" si="25"/>
        <v>2.733783152214736E-2</v>
      </c>
    </row>
    <row r="310" spans="1:10" x14ac:dyDescent="0.35">
      <c r="A310" s="1">
        <v>2006</v>
      </c>
      <c r="B310" t="s">
        <v>7</v>
      </c>
      <c r="C310">
        <v>78</v>
      </c>
      <c r="D310">
        <v>84</v>
      </c>
      <c r="E310">
        <v>870</v>
      </c>
      <c r="F310">
        <v>782</v>
      </c>
      <c r="G310" s="45">
        <f t="shared" si="22"/>
        <v>1.1125319693094629</v>
      </c>
      <c r="H310" s="41">
        <f t="shared" si="23"/>
        <v>0.55311803943806892</v>
      </c>
      <c r="I310" s="45">
        <f t="shared" si="24"/>
        <v>0.48148148148148145</v>
      </c>
      <c r="J310" s="45">
        <f t="shared" si="25"/>
        <v>7.1636557956587466E-2</v>
      </c>
    </row>
    <row r="311" spans="1:10" x14ac:dyDescent="0.35">
      <c r="A311" s="1">
        <v>2006</v>
      </c>
      <c r="B311" t="s">
        <v>8</v>
      </c>
      <c r="C311">
        <v>76</v>
      </c>
      <c r="D311">
        <v>86</v>
      </c>
      <c r="E311">
        <v>813</v>
      </c>
      <c r="F311">
        <v>812</v>
      </c>
      <c r="G311" s="45">
        <f t="shared" si="22"/>
        <v>1.0012315270935961</v>
      </c>
      <c r="H311" s="41">
        <f t="shared" si="23"/>
        <v>0.50061538438233955</v>
      </c>
      <c r="I311" s="45">
        <f t="shared" si="24"/>
        <v>0.46913580246913578</v>
      </c>
      <c r="J311" s="45">
        <f t="shared" si="25"/>
        <v>3.1479581913203769E-2</v>
      </c>
    </row>
    <row r="312" spans="1:10" x14ac:dyDescent="0.35">
      <c r="A312" s="1">
        <v>2006</v>
      </c>
      <c r="B312" t="s">
        <v>9</v>
      </c>
      <c r="C312">
        <v>95</v>
      </c>
      <c r="D312">
        <v>67</v>
      </c>
      <c r="E312">
        <v>822</v>
      </c>
      <c r="F312">
        <v>675</v>
      </c>
      <c r="G312" s="45">
        <f t="shared" si="22"/>
        <v>1.2177777777777778</v>
      </c>
      <c r="H312" s="41">
        <f t="shared" si="23"/>
        <v>0.59725857391747084</v>
      </c>
      <c r="I312" s="45">
        <f t="shared" si="24"/>
        <v>0.5864197530864198</v>
      </c>
      <c r="J312" s="45">
        <f t="shared" si="25"/>
        <v>1.0838820831051033E-2</v>
      </c>
    </row>
    <row r="313" spans="1:10" x14ac:dyDescent="0.35">
      <c r="A313" s="1">
        <v>2006</v>
      </c>
      <c r="B313" t="s">
        <v>43</v>
      </c>
      <c r="C313">
        <v>78</v>
      </c>
      <c r="D313">
        <v>84</v>
      </c>
      <c r="E313">
        <v>758</v>
      </c>
      <c r="F313">
        <v>772</v>
      </c>
      <c r="G313" s="45">
        <f t="shared" si="22"/>
        <v>0.98186528497409331</v>
      </c>
      <c r="H313" s="41">
        <f t="shared" si="23"/>
        <v>0.49085043928143063</v>
      </c>
      <c r="I313" s="45">
        <f t="shared" si="24"/>
        <v>0.48148148148148145</v>
      </c>
      <c r="J313" s="45">
        <f t="shared" si="25"/>
        <v>9.3689577999491735E-3</v>
      </c>
    </row>
    <row r="314" spans="1:10" x14ac:dyDescent="0.35">
      <c r="A314" s="1">
        <v>2006</v>
      </c>
      <c r="B314" t="s">
        <v>10</v>
      </c>
      <c r="C314">
        <v>82</v>
      </c>
      <c r="D314">
        <v>80</v>
      </c>
      <c r="E314">
        <v>735</v>
      </c>
      <c r="F314">
        <v>719</v>
      </c>
      <c r="G314" s="45">
        <f t="shared" si="22"/>
        <v>1.0222531293463144</v>
      </c>
      <c r="H314" s="41">
        <f t="shared" si="23"/>
        <v>0.51100279421029038</v>
      </c>
      <c r="I314" s="45">
        <f t="shared" si="24"/>
        <v>0.50617283950617287</v>
      </c>
      <c r="J314" s="45">
        <f t="shared" si="25"/>
        <v>4.8299547041175117E-3</v>
      </c>
    </row>
    <row r="315" spans="1:10" x14ac:dyDescent="0.35">
      <c r="A315" s="1">
        <v>2006</v>
      </c>
      <c r="B315" t="s">
        <v>11</v>
      </c>
      <c r="C315">
        <v>62</v>
      </c>
      <c r="D315">
        <v>100</v>
      </c>
      <c r="E315">
        <v>757</v>
      </c>
      <c r="F315">
        <v>971</v>
      </c>
      <c r="G315" s="45">
        <f t="shared" si="22"/>
        <v>0.77960865087538622</v>
      </c>
      <c r="H315" s="41">
        <f t="shared" si="23"/>
        <v>0.37802808910936808</v>
      </c>
      <c r="I315" s="45">
        <f t="shared" si="24"/>
        <v>0.38271604938271603</v>
      </c>
      <c r="J315" s="45">
        <f t="shared" si="25"/>
        <v>4.6879602733479464E-3</v>
      </c>
    </row>
    <row r="316" spans="1:10" x14ac:dyDescent="0.35">
      <c r="A316" s="1">
        <v>2006</v>
      </c>
      <c r="B316" t="s">
        <v>12</v>
      </c>
      <c r="C316">
        <v>89</v>
      </c>
      <c r="D316">
        <v>73</v>
      </c>
      <c r="E316">
        <v>766</v>
      </c>
      <c r="F316">
        <v>732</v>
      </c>
      <c r="G316" s="45">
        <f t="shared" si="22"/>
        <v>1.0464480874316939</v>
      </c>
      <c r="H316" s="41">
        <f t="shared" si="23"/>
        <v>0.52268524292255336</v>
      </c>
      <c r="I316" s="45">
        <f t="shared" si="24"/>
        <v>0.54938271604938271</v>
      </c>
      <c r="J316" s="45">
        <f t="shared" si="25"/>
        <v>2.6697473126829352E-2</v>
      </c>
    </row>
    <row r="317" spans="1:10" x14ac:dyDescent="0.35">
      <c r="A317" s="1">
        <v>2006</v>
      </c>
      <c r="B317" t="s">
        <v>13</v>
      </c>
      <c r="C317">
        <v>88</v>
      </c>
      <c r="D317">
        <v>74</v>
      </c>
      <c r="E317">
        <v>820</v>
      </c>
      <c r="F317">
        <v>751</v>
      </c>
      <c r="G317" s="45">
        <f t="shared" si="22"/>
        <v>1.0918774966711051</v>
      </c>
      <c r="H317" s="41">
        <f t="shared" si="23"/>
        <v>0.5438365061173519</v>
      </c>
      <c r="I317" s="45">
        <f t="shared" si="24"/>
        <v>0.54320987654320985</v>
      </c>
      <c r="J317" s="45">
        <f t="shared" si="25"/>
        <v>6.2662957414205689E-4</v>
      </c>
    </row>
    <row r="318" spans="1:10" x14ac:dyDescent="0.35">
      <c r="A318" s="1">
        <v>2006</v>
      </c>
      <c r="B318" t="s">
        <v>15</v>
      </c>
      <c r="C318">
        <v>75</v>
      </c>
      <c r="D318">
        <v>87</v>
      </c>
      <c r="E318">
        <v>730</v>
      </c>
      <c r="F318">
        <v>833</v>
      </c>
      <c r="G318" s="45">
        <f t="shared" si="22"/>
        <v>0.87635054021608638</v>
      </c>
      <c r="H318" s="41">
        <f t="shared" si="23"/>
        <v>0.43438602726304193</v>
      </c>
      <c r="I318" s="45">
        <f t="shared" si="24"/>
        <v>0.46296296296296297</v>
      </c>
      <c r="J318" s="45">
        <f t="shared" si="25"/>
        <v>2.8576935699921036E-2</v>
      </c>
    </row>
    <row r="319" spans="1:10" x14ac:dyDescent="0.35">
      <c r="A319" s="1">
        <v>2006</v>
      </c>
      <c r="B319" t="s">
        <v>16</v>
      </c>
      <c r="C319">
        <v>96</v>
      </c>
      <c r="D319">
        <v>66</v>
      </c>
      <c r="E319">
        <v>801</v>
      </c>
      <c r="F319">
        <v>683</v>
      </c>
      <c r="G319" s="45">
        <f t="shared" ref="G319:G362" si="26">E319/F319</f>
        <v>1.1727672035139092</v>
      </c>
      <c r="H319" s="41">
        <f t="shared" si="23"/>
        <v>0.57901524244420577</v>
      </c>
      <c r="I319" s="45">
        <f t="shared" si="24"/>
        <v>0.59259259259259256</v>
      </c>
      <c r="J319" s="45">
        <f t="shared" si="25"/>
        <v>1.3577350148386791E-2</v>
      </c>
    </row>
    <row r="320" spans="1:10" x14ac:dyDescent="0.35">
      <c r="A320" s="1">
        <v>2006</v>
      </c>
      <c r="B320" t="s">
        <v>17</v>
      </c>
      <c r="C320">
        <v>97</v>
      </c>
      <c r="D320">
        <v>65</v>
      </c>
      <c r="E320">
        <v>834</v>
      </c>
      <c r="F320">
        <v>731</v>
      </c>
      <c r="G320" s="45">
        <f t="shared" si="26"/>
        <v>1.1409028727770179</v>
      </c>
      <c r="H320" s="41">
        <f t="shared" si="23"/>
        <v>0.56553084476432147</v>
      </c>
      <c r="I320" s="45">
        <f t="shared" si="24"/>
        <v>0.59876543209876543</v>
      </c>
      <c r="J320" s="45">
        <f t="shared" si="25"/>
        <v>3.3234587334443955E-2</v>
      </c>
    </row>
    <row r="321" spans="1:10" x14ac:dyDescent="0.35">
      <c r="A321" s="1">
        <v>2006</v>
      </c>
      <c r="B321" t="s">
        <v>18</v>
      </c>
      <c r="C321">
        <v>97</v>
      </c>
      <c r="D321">
        <v>65</v>
      </c>
      <c r="E321">
        <v>930</v>
      </c>
      <c r="F321">
        <v>767</v>
      </c>
      <c r="G321" s="45">
        <f t="shared" si="26"/>
        <v>1.21251629726206</v>
      </c>
      <c r="H321" s="41">
        <f t="shared" si="23"/>
        <v>0.59517378675451027</v>
      </c>
      <c r="I321" s="45">
        <f t="shared" si="24"/>
        <v>0.59876543209876543</v>
      </c>
      <c r="J321" s="45">
        <f t="shared" si="25"/>
        <v>3.5916453442551566E-3</v>
      </c>
    </row>
    <row r="322" spans="1:10" x14ac:dyDescent="0.35">
      <c r="A322" s="1">
        <v>2006</v>
      </c>
      <c r="B322" t="s">
        <v>19</v>
      </c>
      <c r="C322">
        <v>93</v>
      </c>
      <c r="D322">
        <v>69</v>
      </c>
      <c r="E322">
        <v>771</v>
      </c>
      <c r="F322">
        <v>727</v>
      </c>
      <c r="G322" s="45">
        <f t="shared" si="26"/>
        <v>1.0605226960110041</v>
      </c>
      <c r="H322" s="41">
        <f t="shared" si="23"/>
        <v>0.52934717757375527</v>
      </c>
      <c r="I322" s="45">
        <f t="shared" si="24"/>
        <v>0.57407407407407407</v>
      </c>
      <c r="J322" s="45">
        <f t="shared" si="25"/>
        <v>4.4726896500318802E-2</v>
      </c>
    </row>
    <row r="323" spans="1:10" x14ac:dyDescent="0.35">
      <c r="A323" s="1">
        <v>2006</v>
      </c>
      <c r="B323" t="s">
        <v>20</v>
      </c>
      <c r="C323">
        <v>85</v>
      </c>
      <c r="D323">
        <v>77</v>
      </c>
      <c r="E323">
        <v>865</v>
      </c>
      <c r="F323">
        <v>812</v>
      </c>
      <c r="G323" s="45">
        <f t="shared" si="26"/>
        <v>1.0652709359605912</v>
      </c>
      <c r="H323" s="41">
        <f t="shared" si="23"/>
        <v>0.53157251971306563</v>
      </c>
      <c r="I323" s="45">
        <f t="shared" si="24"/>
        <v>0.52469135802469136</v>
      </c>
      <c r="J323" s="45">
        <f t="shared" si="25"/>
        <v>6.881161688374271E-3</v>
      </c>
    </row>
    <row r="324" spans="1:10" x14ac:dyDescent="0.35">
      <c r="A324" s="1">
        <v>2006</v>
      </c>
      <c r="B324" t="s">
        <v>21</v>
      </c>
      <c r="C324">
        <v>67</v>
      </c>
      <c r="D324">
        <v>95</v>
      </c>
      <c r="E324">
        <v>691</v>
      </c>
      <c r="F324">
        <v>797</v>
      </c>
      <c r="G324" s="45">
        <f t="shared" si="26"/>
        <v>0.86700125470514433</v>
      </c>
      <c r="H324" s="41">
        <f t="shared" ref="H324:H362" si="27">(G324^$G$1)/((G324^$G$1)+1)</f>
        <v>0.42912311605209003</v>
      </c>
      <c r="I324" s="45">
        <f t="shared" si="24"/>
        <v>0.41358024691358025</v>
      </c>
      <c r="J324" s="45">
        <f t="shared" si="25"/>
        <v>1.5542869138509774E-2</v>
      </c>
    </row>
    <row r="325" spans="1:10" x14ac:dyDescent="0.35">
      <c r="A325" s="1">
        <v>2006</v>
      </c>
      <c r="B325" t="s">
        <v>22</v>
      </c>
      <c r="C325">
        <v>88</v>
      </c>
      <c r="D325">
        <v>74</v>
      </c>
      <c r="E325">
        <v>731</v>
      </c>
      <c r="F325">
        <v>679</v>
      </c>
      <c r="G325" s="45">
        <f t="shared" si="26"/>
        <v>1.0765832106038291</v>
      </c>
      <c r="H325" s="41">
        <f t="shared" si="27"/>
        <v>0.53682934131134952</v>
      </c>
      <c r="I325" s="45">
        <f t="shared" si="24"/>
        <v>0.54320987654320985</v>
      </c>
      <c r="J325" s="45">
        <f t="shared" si="25"/>
        <v>6.3805352318603292E-3</v>
      </c>
    </row>
    <row r="326" spans="1:10" x14ac:dyDescent="0.35">
      <c r="A326" s="1">
        <v>2006</v>
      </c>
      <c r="B326" t="s">
        <v>23</v>
      </c>
      <c r="C326">
        <v>78</v>
      </c>
      <c r="D326">
        <v>84</v>
      </c>
      <c r="E326">
        <v>756</v>
      </c>
      <c r="F326">
        <v>792</v>
      </c>
      <c r="G326" s="45">
        <f t="shared" si="26"/>
        <v>0.95454545454545459</v>
      </c>
      <c r="H326" s="41">
        <f t="shared" si="27"/>
        <v>0.47675675675675683</v>
      </c>
      <c r="I326" s="45">
        <f t="shared" si="24"/>
        <v>0.48148148148148145</v>
      </c>
      <c r="J326" s="45">
        <f t="shared" si="25"/>
        <v>4.7247247247246271E-3</v>
      </c>
    </row>
    <row r="327" spans="1:10" x14ac:dyDescent="0.35">
      <c r="A327" s="1">
        <v>2006</v>
      </c>
      <c r="B327" t="s">
        <v>24</v>
      </c>
      <c r="C327">
        <v>76</v>
      </c>
      <c r="D327">
        <v>85</v>
      </c>
      <c r="E327">
        <v>746</v>
      </c>
      <c r="F327">
        <v>790</v>
      </c>
      <c r="G327" s="45">
        <f t="shared" si="26"/>
        <v>0.94430379746835447</v>
      </c>
      <c r="H327" s="41">
        <f t="shared" si="27"/>
        <v>0.47137765369942475</v>
      </c>
      <c r="I327" s="45">
        <f t="shared" si="24"/>
        <v>0.46913580246913578</v>
      </c>
      <c r="J327" s="45">
        <f t="shared" si="25"/>
        <v>2.2418512302889715E-3</v>
      </c>
    </row>
    <row r="328" spans="1:10" x14ac:dyDescent="0.35">
      <c r="A328" s="1">
        <v>2006</v>
      </c>
      <c r="B328" t="s">
        <v>25</v>
      </c>
      <c r="C328">
        <v>83</v>
      </c>
      <c r="D328">
        <v>78</v>
      </c>
      <c r="E328">
        <v>781</v>
      </c>
      <c r="F328">
        <v>762</v>
      </c>
      <c r="G328" s="45">
        <f t="shared" si="26"/>
        <v>1.0249343832020998</v>
      </c>
      <c r="H328" s="41">
        <f t="shared" si="27"/>
        <v>0.51231180786238928</v>
      </c>
      <c r="I328" s="45">
        <f t="shared" si="24"/>
        <v>0.51234567901234573</v>
      </c>
      <c r="J328" s="45">
        <f t="shared" si="25"/>
        <v>3.3871149956454794E-5</v>
      </c>
    </row>
    <row r="329" spans="1:10" x14ac:dyDescent="0.35">
      <c r="A329" s="1">
        <v>2006</v>
      </c>
      <c r="B329" t="s">
        <v>44</v>
      </c>
      <c r="C329">
        <v>61</v>
      </c>
      <c r="D329">
        <v>101</v>
      </c>
      <c r="E329">
        <v>689</v>
      </c>
      <c r="F329">
        <v>856</v>
      </c>
      <c r="G329" s="45">
        <f t="shared" si="26"/>
        <v>0.80490654205607481</v>
      </c>
      <c r="H329" s="41">
        <f t="shared" si="27"/>
        <v>0.39315768594658035</v>
      </c>
      <c r="I329" s="45">
        <f t="shared" si="24"/>
        <v>0.37654320987654322</v>
      </c>
      <c r="J329" s="45">
        <f t="shared" si="25"/>
        <v>1.6614476070037132E-2</v>
      </c>
    </row>
    <row r="330" spans="1:10" x14ac:dyDescent="0.35">
      <c r="A330" s="1">
        <v>2006</v>
      </c>
      <c r="B330" t="s">
        <v>27</v>
      </c>
      <c r="C330">
        <v>80</v>
      </c>
      <c r="D330">
        <v>82</v>
      </c>
      <c r="E330">
        <v>835</v>
      </c>
      <c r="F330">
        <v>784</v>
      </c>
      <c r="G330" s="45">
        <f t="shared" si="26"/>
        <v>1.0650510204081634</v>
      </c>
      <c r="H330" s="41">
        <f t="shared" si="27"/>
        <v>0.53146969885225881</v>
      </c>
      <c r="I330" s="45">
        <f t="shared" si="24"/>
        <v>0.49382716049382713</v>
      </c>
      <c r="J330" s="45">
        <f t="shared" si="25"/>
        <v>3.7642538358431676E-2</v>
      </c>
    </row>
    <row r="331" spans="1:10" x14ac:dyDescent="0.35">
      <c r="A331" s="1">
        <v>2006</v>
      </c>
      <c r="B331" t="s">
        <v>28</v>
      </c>
      <c r="C331">
        <v>87</v>
      </c>
      <c r="D331">
        <v>75</v>
      </c>
      <c r="E331">
        <v>809</v>
      </c>
      <c r="F331">
        <v>754</v>
      </c>
      <c r="G331" s="45">
        <f t="shared" si="26"/>
        <v>1.072944297082228</v>
      </c>
      <c r="H331" s="41">
        <f t="shared" si="27"/>
        <v>0.53514522112482699</v>
      </c>
      <c r="I331" s="45">
        <f t="shared" si="24"/>
        <v>0.53703703703703709</v>
      </c>
      <c r="J331" s="45">
        <f t="shared" si="25"/>
        <v>1.8918159122101041E-3</v>
      </c>
    </row>
    <row r="332" spans="1:10" x14ac:dyDescent="0.35">
      <c r="A332" s="1">
        <v>2006</v>
      </c>
      <c r="B332" t="s">
        <v>29</v>
      </c>
      <c r="C332">
        <v>71</v>
      </c>
      <c r="D332">
        <v>91</v>
      </c>
      <c r="E332">
        <v>746</v>
      </c>
      <c r="F332">
        <v>872</v>
      </c>
      <c r="G332" s="45">
        <f t="shared" si="26"/>
        <v>0.85550458715596334</v>
      </c>
      <c r="H332" s="41">
        <f t="shared" si="27"/>
        <v>0.42259548940694053</v>
      </c>
      <c r="I332" s="45">
        <f t="shared" si="24"/>
        <v>0.43827160493827161</v>
      </c>
      <c r="J332" s="45">
        <f t="shared" si="25"/>
        <v>1.5676115531331081E-2</v>
      </c>
    </row>
    <row r="333" spans="1:10" x14ac:dyDescent="0.35">
      <c r="A333" s="1">
        <v>2005</v>
      </c>
      <c r="B333" t="s">
        <v>0</v>
      </c>
      <c r="C333">
        <v>77</v>
      </c>
      <c r="D333">
        <v>85</v>
      </c>
      <c r="E333">
        <v>696</v>
      </c>
      <c r="F333">
        <v>856</v>
      </c>
      <c r="G333" s="45">
        <f t="shared" si="26"/>
        <v>0.81308411214953269</v>
      </c>
      <c r="H333" s="41">
        <f t="shared" si="27"/>
        <v>0.39799137659059836</v>
      </c>
      <c r="I333" s="45">
        <f t="shared" si="24"/>
        <v>0.47530864197530864</v>
      </c>
      <c r="J333" s="45">
        <f t="shared" si="25"/>
        <v>7.7317265384710288E-2</v>
      </c>
    </row>
    <row r="334" spans="1:10" x14ac:dyDescent="0.35">
      <c r="A334" s="1">
        <v>2005</v>
      </c>
      <c r="B334" t="s">
        <v>1</v>
      </c>
      <c r="C334">
        <v>90</v>
      </c>
      <c r="D334">
        <v>72</v>
      </c>
      <c r="E334">
        <v>769</v>
      </c>
      <c r="F334">
        <v>674</v>
      </c>
      <c r="G334" s="45">
        <f t="shared" si="26"/>
        <v>1.1409495548961424</v>
      </c>
      <c r="H334" s="41">
        <f t="shared" si="27"/>
        <v>0.5655509512383361</v>
      </c>
      <c r="I334" s="45">
        <f t="shared" si="24"/>
        <v>0.55555555555555558</v>
      </c>
      <c r="J334" s="45">
        <f t="shared" si="25"/>
        <v>9.9953956827805168E-3</v>
      </c>
    </row>
    <row r="335" spans="1:10" x14ac:dyDescent="0.35">
      <c r="A335" s="1">
        <v>2005</v>
      </c>
      <c r="B335" t="s">
        <v>2</v>
      </c>
      <c r="C335">
        <v>74</v>
      </c>
      <c r="D335">
        <v>88</v>
      </c>
      <c r="E335">
        <v>729</v>
      </c>
      <c r="F335">
        <v>800</v>
      </c>
      <c r="G335" s="45">
        <f t="shared" si="26"/>
        <v>0.91125</v>
      </c>
      <c r="H335" s="41">
        <f t="shared" si="27"/>
        <v>0.45366433307353932</v>
      </c>
      <c r="I335" s="45">
        <f t="shared" si="24"/>
        <v>0.4567901234567901</v>
      </c>
      <c r="J335" s="45">
        <f t="shared" si="25"/>
        <v>3.1257903832507816E-3</v>
      </c>
    </row>
    <row r="336" spans="1:10" x14ac:dyDescent="0.35">
      <c r="A336" s="1">
        <v>2005</v>
      </c>
      <c r="B336" t="s">
        <v>3</v>
      </c>
      <c r="C336">
        <v>95</v>
      </c>
      <c r="D336">
        <v>67</v>
      </c>
      <c r="E336">
        <v>910</v>
      </c>
      <c r="F336">
        <v>805</v>
      </c>
      <c r="G336" s="45">
        <f t="shared" si="26"/>
        <v>1.1304347826086956</v>
      </c>
      <c r="H336" s="41">
        <f t="shared" si="27"/>
        <v>0.56099585062240664</v>
      </c>
      <c r="I336" s="45">
        <f t="shared" si="24"/>
        <v>0.5864197530864198</v>
      </c>
      <c r="J336" s="45">
        <f t="shared" si="25"/>
        <v>2.5423902464013159E-2</v>
      </c>
    </row>
    <row r="337" spans="1:10" x14ac:dyDescent="0.35">
      <c r="A337" s="1">
        <v>2005</v>
      </c>
      <c r="B337" t="s">
        <v>4</v>
      </c>
      <c r="C337">
        <v>79</v>
      </c>
      <c r="D337">
        <v>83</v>
      </c>
      <c r="E337">
        <v>703</v>
      </c>
      <c r="F337">
        <v>714</v>
      </c>
      <c r="G337" s="45">
        <f t="shared" si="26"/>
        <v>0.98459383753501406</v>
      </c>
      <c r="H337" s="41">
        <f t="shared" si="27"/>
        <v>0.49223758845822485</v>
      </c>
      <c r="I337" s="45">
        <f t="shared" si="24"/>
        <v>0.48765432098765432</v>
      </c>
      <c r="J337" s="45">
        <f t="shared" si="25"/>
        <v>4.583267470570529E-3</v>
      </c>
    </row>
    <row r="338" spans="1:10" x14ac:dyDescent="0.35">
      <c r="A338" s="1">
        <v>2005</v>
      </c>
      <c r="B338" t="s">
        <v>5</v>
      </c>
      <c r="C338">
        <v>99</v>
      </c>
      <c r="D338">
        <v>63</v>
      </c>
      <c r="E338">
        <v>741</v>
      </c>
      <c r="F338">
        <v>645</v>
      </c>
      <c r="G338" s="45">
        <f t="shared" si="26"/>
        <v>1.1488372093023256</v>
      </c>
      <c r="H338" s="41">
        <f t="shared" si="27"/>
        <v>0.56893336068784151</v>
      </c>
      <c r="I338" s="45">
        <f t="shared" si="24"/>
        <v>0.61111111111111116</v>
      </c>
      <c r="J338" s="45">
        <f t="shared" si="25"/>
        <v>4.2177750423269655E-2</v>
      </c>
    </row>
    <row r="339" spans="1:10" x14ac:dyDescent="0.35">
      <c r="A339" s="1">
        <v>2005</v>
      </c>
      <c r="B339" t="s">
        <v>6</v>
      </c>
      <c r="C339">
        <v>73</v>
      </c>
      <c r="D339">
        <v>89</v>
      </c>
      <c r="E339">
        <v>820</v>
      </c>
      <c r="F339">
        <v>889</v>
      </c>
      <c r="G339" s="45">
        <f t="shared" si="26"/>
        <v>0.92238470191226096</v>
      </c>
      <c r="H339" s="41">
        <f t="shared" si="27"/>
        <v>0.45969121930976581</v>
      </c>
      <c r="I339" s="45">
        <f t="shared" si="24"/>
        <v>0.45061728395061729</v>
      </c>
      <c r="J339" s="45">
        <f t="shared" si="25"/>
        <v>9.0739353591485217E-3</v>
      </c>
    </row>
    <row r="340" spans="1:10" x14ac:dyDescent="0.35">
      <c r="A340" s="1">
        <v>2005</v>
      </c>
      <c r="B340" t="s">
        <v>7</v>
      </c>
      <c r="C340">
        <v>93</v>
      </c>
      <c r="D340">
        <v>69</v>
      </c>
      <c r="E340">
        <v>790</v>
      </c>
      <c r="F340">
        <v>642</v>
      </c>
      <c r="G340" s="45">
        <f t="shared" si="26"/>
        <v>1.2305295950155763</v>
      </c>
      <c r="H340" s="41">
        <f t="shared" si="27"/>
        <v>0.6022596558405966</v>
      </c>
      <c r="I340" s="45">
        <f t="shared" si="24"/>
        <v>0.57407407407407407</v>
      </c>
      <c r="J340" s="45">
        <f t="shared" si="25"/>
        <v>2.8185581766522527E-2</v>
      </c>
    </row>
    <row r="341" spans="1:10" x14ac:dyDescent="0.35">
      <c r="A341" s="1">
        <v>2005</v>
      </c>
      <c r="B341" t="s">
        <v>8</v>
      </c>
      <c r="C341">
        <v>67</v>
      </c>
      <c r="D341">
        <v>95</v>
      </c>
      <c r="E341">
        <v>740</v>
      </c>
      <c r="F341">
        <v>862</v>
      </c>
      <c r="G341" s="45">
        <f t="shared" si="26"/>
        <v>0.85846867749419953</v>
      </c>
      <c r="H341" s="41">
        <f t="shared" si="27"/>
        <v>0.42428431077818513</v>
      </c>
      <c r="I341" s="45">
        <f t="shared" si="24"/>
        <v>0.41358024691358025</v>
      </c>
      <c r="J341" s="45">
        <f t="shared" si="25"/>
        <v>1.0704063864604874E-2</v>
      </c>
    </row>
    <row r="342" spans="1:10" x14ac:dyDescent="0.35">
      <c r="A342" s="1">
        <v>2005</v>
      </c>
      <c r="B342" t="s">
        <v>9</v>
      </c>
      <c r="C342">
        <v>71</v>
      </c>
      <c r="D342">
        <v>91</v>
      </c>
      <c r="E342">
        <v>723</v>
      </c>
      <c r="F342">
        <v>787</v>
      </c>
      <c r="G342" s="45">
        <f t="shared" si="26"/>
        <v>0.91867852604828459</v>
      </c>
      <c r="H342" s="41">
        <f t="shared" si="27"/>
        <v>0.45769189684247757</v>
      </c>
      <c r="I342" s="45">
        <f t="shared" si="24"/>
        <v>0.43827160493827161</v>
      </c>
      <c r="J342" s="45">
        <f t="shared" si="25"/>
        <v>1.9420291904205966E-2</v>
      </c>
    </row>
    <row r="343" spans="1:10" x14ac:dyDescent="0.35">
      <c r="A343" s="1">
        <v>2005</v>
      </c>
      <c r="B343" t="s">
        <v>43</v>
      </c>
      <c r="C343">
        <v>83</v>
      </c>
      <c r="D343">
        <v>79</v>
      </c>
      <c r="E343">
        <v>717</v>
      </c>
      <c r="F343">
        <v>732</v>
      </c>
      <c r="G343" s="45">
        <f t="shared" si="26"/>
        <v>0.97950819672131151</v>
      </c>
      <c r="H343" s="41">
        <f t="shared" si="27"/>
        <v>0.48964914235750961</v>
      </c>
      <c r="I343" s="45">
        <f t="shared" si="24"/>
        <v>0.51234567901234573</v>
      </c>
      <c r="J343" s="45">
        <f t="shared" si="25"/>
        <v>2.2696536654836119E-2</v>
      </c>
    </row>
    <row r="344" spans="1:10" x14ac:dyDescent="0.35">
      <c r="A344" s="1">
        <v>2005</v>
      </c>
      <c r="B344" t="s">
        <v>10</v>
      </c>
      <c r="C344">
        <v>89</v>
      </c>
      <c r="D344">
        <v>73</v>
      </c>
      <c r="E344">
        <v>693</v>
      </c>
      <c r="F344">
        <v>609</v>
      </c>
      <c r="G344" s="45">
        <f t="shared" si="26"/>
        <v>1.1379310344827587</v>
      </c>
      <c r="H344" s="41">
        <f t="shared" si="27"/>
        <v>0.56424870466321242</v>
      </c>
      <c r="I344" s="45">
        <f t="shared" si="24"/>
        <v>0.54938271604938271</v>
      </c>
      <c r="J344" s="45">
        <f t="shared" si="25"/>
        <v>1.4865988613829706E-2</v>
      </c>
    </row>
    <row r="345" spans="1:10" x14ac:dyDescent="0.35">
      <c r="A345" s="1">
        <v>2005</v>
      </c>
      <c r="B345" t="s">
        <v>11</v>
      </c>
      <c r="C345">
        <v>56</v>
      </c>
      <c r="D345">
        <v>106</v>
      </c>
      <c r="E345">
        <v>701</v>
      </c>
      <c r="F345">
        <v>935</v>
      </c>
      <c r="G345" s="45">
        <f t="shared" si="26"/>
        <v>0.74973262032085564</v>
      </c>
      <c r="H345" s="41">
        <f t="shared" si="27"/>
        <v>0.35983570904478979</v>
      </c>
      <c r="I345" s="45">
        <f t="shared" si="24"/>
        <v>0.34567901234567899</v>
      </c>
      <c r="J345" s="45">
        <f t="shared" si="25"/>
        <v>1.4156696699110793E-2</v>
      </c>
    </row>
    <row r="346" spans="1:10" x14ac:dyDescent="0.35">
      <c r="A346" s="1">
        <v>2005</v>
      </c>
      <c r="B346" t="s">
        <v>12</v>
      </c>
      <c r="C346">
        <v>95</v>
      </c>
      <c r="D346">
        <v>67</v>
      </c>
      <c r="E346">
        <v>761</v>
      </c>
      <c r="F346">
        <v>643</v>
      </c>
      <c r="G346" s="45">
        <f t="shared" si="26"/>
        <v>1.1835147744945567</v>
      </c>
      <c r="H346" s="41">
        <f t="shared" si="27"/>
        <v>0.58345607866447702</v>
      </c>
      <c r="I346" s="45">
        <f t="shared" si="24"/>
        <v>0.5864197530864198</v>
      </c>
      <c r="J346" s="45">
        <f t="shared" si="25"/>
        <v>2.9636744219427857E-3</v>
      </c>
    </row>
    <row r="347" spans="1:10" x14ac:dyDescent="0.35">
      <c r="A347" s="1">
        <v>2005</v>
      </c>
      <c r="B347" t="s">
        <v>13</v>
      </c>
      <c r="C347">
        <v>71</v>
      </c>
      <c r="D347">
        <v>91</v>
      </c>
      <c r="E347">
        <v>685</v>
      </c>
      <c r="F347">
        <v>755</v>
      </c>
      <c r="G347" s="45">
        <f t="shared" si="26"/>
        <v>0.9072847682119205</v>
      </c>
      <c r="H347" s="41">
        <f t="shared" si="27"/>
        <v>0.45150348809237428</v>
      </c>
      <c r="I347" s="45">
        <f t="shared" si="24"/>
        <v>0.43827160493827161</v>
      </c>
      <c r="J347" s="45">
        <f t="shared" si="25"/>
        <v>1.3231883154102675E-2</v>
      </c>
    </row>
    <row r="348" spans="1:10" x14ac:dyDescent="0.35">
      <c r="A348" s="1">
        <v>2005</v>
      </c>
      <c r="B348" t="s">
        <v>15</v>
      </c>
      <c r="C348">
        <v>81</v>
      </c>
      <c r="D348">
        <v>81</v>
      </c>
      <c r="E348">
        <v>726</v>
      </c>
      <c r="F348">
        <v>697</v>
      </c>
      <c r="G348" s="45">
        <f t="shared" si="26"/>
        <v>1.0416068866571018</v>
      </c>
      <c r="H348" s="41">
        <f t="shared" si="27"/>
        <v>0.52037101941483965</v>
      </c>
      <c r="I348" s="45">
        <f t="shared" si="24"/>
        <v>0.5</v>
      </c>
      <c r="J348" s="45">
        <f t="shared" si="25"/>
        <v>2.0371019414839653E-2</v>
      </c>
    </row>
    <row r="349" spans="1:10" x14ac:dyDescent="0.35">
      <c r="A349" s="1">
        <v>2005</v>
      </c>
      <c r="B349" t="s">
        <v>16</v>
      </c>
      <c r="C349">
        <v>83</v>
      </c>
      <c r="D349">
        <v>79</v>
      </c>
      <c r="E349">
        <v>688</v>
      </c>
      <c r="F349">
        <v>662</v>
      </c>
      <c r="G349" s="45">
        <f t="shared" si="26"/>
        <v>1.0392749244712991</v>
      </c>
      <c r="H349" s="41">
        <f t="shared" si="27"/>
        <v>0.51925211828150442</v>
      </c>
      <c r="I349" s="45">
        <f t="shared" ref="I349:I362" si="28">C349/162</f>
        <v>0.51234567901234573</v>
      </c>
      <c r="J349" s="45">
        <f t="shared" ref="J349:J362" si="29">ABS(H349-I349)</f>
        <v>6.9064392691586818E-3</v>
      </c>
    </row>
    <row r="350" spans="1:10" x14ac:dyDescent="0.35">
      <c r="A350" s="1">
        <v>2005</v>
      </c>
      <c r="B350" t="s">
        <v>17</v>
      </c>
      <c r="C350">
        <v>83</v>
      </c>
      <c r="D350">
        <v>79</v>
      </c>
      <c r="E350">
        <v>722</v>
      </c>
      <c r="F350">
        <v>648</v>
      </c>
      <c r="G350" s="45">
        <f t="shared" si="26"/>
        <v>1.1141975308641976</v>
      </c>
      <c r="H350" s="41">
        <f t="shared" si="27"/>
        <v>0.55385746524605084</v>
      </c>
      <c r="I350" s="45">
        <f t="shared" si="28"/>
        <v>0.51234567901234573</v>
      </c>
      <c r="J350" s="45">
        <f t="shared" si="29"/>
        <v>4.1511786233705106E-2</v>
      </c>
    </row>
    <row r="351" spans="1:10" x14ac:dyDescent="0.35">
      <c r="A351" s="1">
        <v>2005</v>
      </c>
      <c r="B351" t="s">
        <v>18</v>
      </c>
      <c r="C351">
        <v>95</v>
      </c>
      <c r="D351">
        <v>67</v>
      </c>
      <c r="E351">
        <v>886</v>
      </c>
      <c r="F351">
        <v>789</v>
      </c>
      <c r="G351" s="45">
        <f t="shared" si="26"/>
        <v>1.1229404309252218</v>
      </c>
      <c r="H351" s="41">
        <f t="shared" si="27"/>
        <v>0.55771688725606872</v>
      </c>
      <c r="I351" s="45">
        <f t="shared" si="28"/>
        <v>0.5864197530864198</v>
      </c>
      <c r="J351" s="45">
        <f t="shared" si="29"/>
        <v>2.8702865830351088E-2</v>
      </c>
    </row>
    <row r="352" spans="1:10" x14ac:dyDescent="0.35">
      <c r="A352" s="1">
        <v>2005</v>
      </c>
      <c r="B352" t="s">
        <v>19</v>
      </c>
      <c r="C352">
        <v>88</v>
      </c>
      <c r="D352">
        <v>74</v>
      </c>
      <c r="E352">
        <v>772</v>
      </c>
      <c r="F352">
        <v>658</v>
      </c>
      <c r="G352" s="45">
        <f t="shared" si="26"/>
        <v>1.1732522796352585</v>
      </c>
      <c r="H352" s="41">
        <f t="shared" si="27"/>
        <v>0.57921683117125466</v>
      </c>
      <c r="I352" s="45">
        <f t="shared" si="28"/>
        <v>0.54320987654320985</v>
      </c>
      <c r="J352" s="45">
        <f t="shared" si="29"/>
        <v>3.6006954628044818E-2</v>
      </c>
    </row>
    <row r="353" spans="1:10" x14ac:dyDescent="0.35">
      <c r="A353" s="1">
        <v>2005</v>
      </c>
      <c r="B353" t="s">
        <v>20</v>
      </c>
      <c r="C353">
        <v>88</v>
      </c>
      <c r="D353">
        <v>74</v>
      </c>
      <c r="E353">
        <v>807</v>
      </c>
      <c r="F353">
        <v>726</v>
      </c>
      <c r="G353" s="45">
        <f t="shared" si="26"/>
        <v>1.1115702479338843</v>
      </c>
      <c r="H353" s="41">
        <f t="shared" si="27"/>
        <v>0.55269047164407104</v>
      </c>
      <c r="I353" s="45">
        <f t="shared" si="28"/>
        <v>0.54320987654320985</v>
      </c>
      <c r="J353" s="45">
        <f t="shared" si="29"/>
        <v>9.4805951008611888E-3</v>
      </c>
    </row>
    <row r="354" spans="1:10" x14ac:dyDescent="0.35">
      <c r="A354" s="1">
        <v>2005</v>
      </c>
      <c r="B354" t="s">
        <v>21</v>
      </c>
      <c r="C354">
        <v>67</v>
      </c>
      <c r="D354">
        <v>95</v>
      </c>
      <c r="E354">
        <v>680</v>
      </c>
      <c r="F354">
        <v>769</v>
      </c>
      <c r="G354" s="45">
        <f t="shared" si="26"/>
        <v>0.88426527958387513</v>
      </c>
      <c r="H354" s="41">
        <f t="shared" si="27"/>
        <v>0.43880917969065092</v>
      </c>
      <c r="I354" s="45">
        <f t="shared" si="28"/>
        <v>0.41358024691358025</v>
      </c>
      <c r="J354" s="45">
        <f t="shared" si="29"/>
        <v>2.5228932777070667E-2</v>
      </c>
    </row>
    <row r="355" spans="1:10" x14ac:dyDescent="0.35">
      <c r="A355" s="1">
        <v>2005</v>
      </c>
      <c r="B355" t="s">
        <v>22</v>
      </c>
      <c r="C355">
        <v>82</v>
      </c>
      <c r="D355">
        <v>80</v>
      </c>
      <c r="E355">
        <v>684</v>
      </c>
      <c r="F355">
        <v>726</v>
      </c>
      <c r="G355" s="45">
        <f t="shared" si="26"/>
        <v>0.94214876033057848</v>
      </c>
      <c r="H355" s="41">
        <f t="shared" si="27"/>
        <v>0.47023917212432609</v>
      </c>
      <c r="I355" s="45">
        <f t="shared" si="28"/>
        <v>0.50617283950617287</v>
      </c>
      <c r="J355" s="45">
        <f t="shared" si="29"/>
        <v>3.5933667381846779E-2</v>
      </c>
    </row>
    <row r="356" spans="1:10" x14ac:dyDescent="0.35">
      <c r="A356" s="1">
        <v>2005</v>
      </c>
      <c r="B356" t="s">
        <v>23</v>
      </c>
      <c r="C356">
        <v>69</v>
      </c>
      <c r="D356">
        <v>93</v>
      </c>
      <c r="E356">
        <v>699</v>
      </c>
      <c r="F356">
        <v>751</v>
      </c>
      <c r="G356" s="45">
        <f t="shared" si="26"/>
        <v>0.93075898801597867</v>
      </c>
      <c r="H356" s="41">
        <f t="shared" si="27"/>
        <v>0.46418399357021933</v>
      </c>
      <c r="I356" s="45">
        <f t="shared" si="28"/>
        <v>0.42592592592592593</v>
      </c>
      <c r="J356" s="45">
        <f t="shared" si="29"/>
        <v>3.8258067644293403E-2</v>
      </c>
    </row>
    <row r="357" spans="1:10" x14ac:dyDescent="0.35">
      <c r="A357" s="1">
        <v>2005</v>
      </c>
      <c r="B357" t="s">
        <v>24</v>
      </c>
      <c r="C357">
        <v>75</v>
      </c>
      <c r="D357">
        <v>87</v>
      </c>
      <c r="E357">
        <v>649</v>
      </c>
      <c r="F357">
        <v>745</v>
      </c>
      <c r="G357" s="45">
        <f t="shared" si="26"/>
        <v>0.87114093959731542</v>
      </c>
      <c r="H357" s="41">
        <f t="shared" si="27"/>
        <v>0.43145849424211197</v>
      </c>
      <c r="I357" s="45">
        <f t="shared" si="28"/>
        <v>0.46296296296296297</v>
      </c>
      <c r="J357" s="45">
        <f t="shared" si="29"/>
        <v>3.1504468720850998E-2</v>
      </c>
    </row>
    <row r="358" spans="1:10" x14ac:dyDescent="0.35">
      <c r="A358" s="1">
        <v>2005</v>
      </c>
      <c r="B358" t="s">
        <v>25</v>
      </c>
      <c r="C358">
        <v>100</v>
      </c>
      <c r="D358">
        <v>62</v>
      </c>
      <c r="E358">
        <v>805</v>
      </c>
      <c r="F358">
        <v>634</v>
      </c>
      <c r="G358" s="45">
        <f t="shared" si="26"/>
        <v>1.2697160883280758</v>
      </c>
      <c r="H358" s="41">
        <f t="shared" si="27"/>
        <v>0.61717783464653164</v>
      </c>
      <c r="I358" s="45">
        <f t="shared" si="28"/>
        <v>0.61728395061728392</v>
      </c>
      <c r="J358" s="45">
        <f t="shared" si="29"/>
        <v>1.0611597075227408E-4</v>
      </c>
    </row>
    <row r="359" spans="1:10" x14ac:dyDescent="0.35">
      <c r="A359" s="1">
        <v>2005</v>
      </c>
      <c r="B359" t="s">
        <v>44</v>
      </c>
      <c r="C359">
        <v>67</v>
      </c>
      <c r="D359">
        <v>95</v>
      </c>
      <c r="E359">
        <v>750</v>
      </c>
      <c r="F359">
        <v>936</v>
      </c>
      <c r="G359" s="45">
        <f t="shared" si="26"/>
        <v>0.80128205128205132</v>
      </c>
      <c r="H359" s="41">
        <f t="shared" si="27"/>
        <v>0.39100623107529847</v>
      </c>
      <c r="I359" s="45">
        <f t="shared" si="28"/>
        <v>0.41358024691358025</v>
      </c>
      <c r="J359" s="45">
        <f t="shared" si="29"/>
        <v>2.257401583828178E-2</v>
      </c>
    </row>
    <row r="360" spans="1:10" x14ac:dyDescent="0.35">
      <c r="A360" s="1">
        <v>2005</v>
      </c>
      <c r="B360" t="s">
        <v>27</v>
      </c>
      <c r="C360">
        <v>79</v>
      </c>
      <c r="D360">
        <v>83</v>
      </c>
      <c r="E360">
        <v>865</v>
      </c>
      <c r="F360">
        <v>858</v>
      </c>
      <c r="G360" s="45">
        <f t="shared" si="26"/>
        <v>1.008158508158508</v>
      </c>
      <c r="H360" s="41">
        <f t="shared" si="27"/>
        <v>0.50406261431471133</v>
      </c>
      <c r="I360" s="45">
        <f t="shared" si="28"/>
        <v>0.48765432098765432</v>
      </c>
      <c r="J360" s="45">
        <f t="shared" si="29"/>
        <v>1.6408293327057011E-2</v>
      </c>
    </row>
    <row r="361" spans="1:10" x14ac:dyDescent="0.35">
      <c r="A361" s="1">
        <v>2005</v>
      </c>
      <c r="B361" t="s">
        <v>28</v>
      </c>
      <c r="C361">
        <v>80</v>
      </c>
      <c r="D361">
        <v>82</v>
      </c>
      <c r="E361">
        <v>775</v>
      </c>
      <c r="F361">
        <v>705</v>
      </c>
      <c r="G361" s="45">
        <f t="shared" si="26"/>
        <v>1.0992907801418439</v>
      </c>
      <c r="H361" s="41">
        <f t="shared" si="27"/>
        <v>0.54719172778207992</v>
      </c>
      <c r="I361" s="45">
        <f t="shared" si="28"/>
        <v>0.49382716049382713</v>
      </c>
      <c r="J361" s="45">
        <f t="shared" si="29"/>
        <v>5.3364567288252784E-2</v>
      </c>
    </row>
    <row r="362" spans="1:10" x14ac:dyDescent="0.35">
      <c r="A362" s="1">
        <v>2005</v>
      </c>
      <c r="B362" t="s">
        <v>29</v>
      </c>
      <c r="C362">
        <v>81</v>
      </c>
      <c r="D362">
        <v>81</v>
      </c>
      <c r="E362">
        <v>639</v>
      </c>
      <c r="F362">
        <v>673</v>
      </c>
      <c r="G362" s="45">
        <f t="shared" si="26"/>
        <v>0.94947994056463592</v>
      </c>
      <c r="H362" s="41">
        <f t="shared" si="27"/>
        <v>0.47410275761973875</v>
      </c>
      <c r="I362" s="45">
        <f t="shared" si="28"/>
        <v>0.5</v>
      </c>
      <c r="J362" s="45">
        <f t="shared" si="29"/>
        <v>2.5897242380261254E-2</v>
      </c>
    </row>
  </sheetData>
  <conditionalFormatting sqref="O7:O26">
    <cfRule type="top10" dxfId="0" priority="1" bottom="1" rank="1"/>
  </conditionalFormatting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/>
  <dimension ref="A1:O362"/>
  <sheetViews>
    <sheetView workbookViewId="0">
      <selection activeCell="N1" sqref="N1:O21"/>
    </sheetView>
  </sheetViews>
  <sheetFormatPr defaultRowHeight="14.5" x14ac:dyDescent="0.35"/>
  <cols>
    <col min="1" max="1" width="4.7265625" bestFit="1" customWidth="1"/>
    <col min="2" max="2" width="5.1796875" bestFit="1" customWidth="1"/>
    <col min="3" max="3" width="4.81640625" bestFit="1" customWidth="1"/>
    <col min="4" max="4" width="6" bestFit="1" customWidth="1"/>
    <col min="5" max="5" width="4.7265625" bestFit="1" customWidth="1"/>
    <col min="6" max="6" width="8.6328125" bestFit="1" customWidth="1"/>
  </cols>
  <sheetData>
    <row r="1" spans="1:15" x14ac:dyDescent="0.35">
      <c r="G1" t="s">
        <v>40</v>
      </c>
      <c r="H1" s="39">
        <v>1.8</v>
      </c>
      <c r="I1" t="s">
        <v>34</v>
      </c>
      <c r="J1">
        <f>AVERAGE((J3:J362))</f>
        <v>2.0310073002052297E-2</v>
      </c>
      <c r="N1" s="9"/>
      <c r="O1" s="10"/>
    </row>
    <row r="2" spans="1:15" x14ac:dyDescent="0.35">
      <c r="B2" s="2" t="s">
        <v>35</v>
      </c>
      <c r="C2" s="2" t="s">
        <v>36</v>
      </c>
      <c r="D2" s="2" t="s">
        <v>37</v>
      </c>
      <c r="E2" s="2" t="s">
        <v>39</v>
      </c>
      <c r="F2" s="2" t="s">
        <v>38</v>
      </c>
      <c r="G2" s="2" t="s">
        <v>30</v>
      </c>
      <c r="H2" s="2" t="s">
        <v>31</v>
      </c>
      <c r="I2" s="2" t="s">
        <v>32</v>
      </c>
      <c r="J2" s="2" t="s">
        <v>33</v>
      </c>
      <c r="N2" s="11"/>
      <c r="O2" s="46"/>
    </row>
    <row r="3" spans="1:15" x14ac:dyDescent="0.35">
      <c r="A3">
        <v>2016</v>
      </c>
      <c r="B3" t="s">
        <v>0</v>
      </c>
      <c r="C3">
        <v>69</v>
      </c>
      <c r="D3">
        <v>93</v>
      </c>
      <c r="E3">
        <v>752</v>
      </c>
      <c r="F3">
        <v>890</v>
      </c>
      <c r="G3" s="45">
        <f t="shared" ref="G3:G66" si="0">E3/F3</f>
        <v>0.84494382022471914</v>
      </c>
      <c r="H3" s="45">
        <f>(G3^$H$1)/((G3^$H$1)+1)</f>
        <v>0.42475750571305243</v>
      </c>
      <c r="I3" s="45">
        <f t="shared" ref="I3:I66" si="1">C3/162</f>
        <v>0.42592592592592593</v>
      </c>
      <c r="J3" s="45">
        <f t="shared" ref="J3:J66" si="2">ABS(H3-I3)</f>
        <v>1.1684202128735E-3</v>
      </c>
      <c r="N3" s="11"/>
      <c r="O3" s="46"/>
    </row>
    <row r="4" spans="1:15" x14ac:dyDescent="0.35">
      <c r="A4">
        <v>2016</v>
      </c>
      <c r="B4" t="s">
        <v>1</v>
      </c>
      <c r="C4">
        <v>68</v>
      </c>
      <c r="D4">
        <v>93</v>
      </c>
      <c r="E4">
        <v>649</v>
      </c>
      <c r="F4">
        <v>779</v>
      </c>
      <c r="G4" s="45">
        <f t="shared" si="0"/>
        <v>0.83311938382541717</v>
      </c>
      <c r="H4" s="45">
        <f t="shared" ref="H4:H67" si="3">(G4^$H$1)/((G4^$H$1)+1)</f>
        <v>0.41857132731164609</v>
      </c>
      <c r="I4" s="45">
        <f t="shared" si="1"/>
        <v>0.41975308641975306</v>
      </c>
      <c r="J4" s="45">
        <f t="shared" si="2"/>
        <v>1.1817591081069723E-3</v>
      </c>
      <c r="N4" s="11"/>
      <c r="O4" s="46"/>
    </row>
    <row r="5" spans="1:15" x14ac:dyDescent="0.35">
      <c r="A5">
        <v>2016</v>
      </c>
      <c r="B5" t="s">
        <v>2</v>
      </c>
      <c r="C5">
        <v>89</v>
      </c>
      <c r="D5">
        <v>73</v>
      </c>
      <c r="E5">
        <v>744</v>
      </c>
      <c r="F5">
        <v>715</v>
      </c>
      <c r="G5" s="45">
        <f t="shared" si="0"/>
        <v>1.0405594405594405</v>
      </c>
      <c r="H5" s="45">
        <f t="shared" si="3"/>
        <v>0.5178836893701112</v>
      </c>
      <c r="I5" s="45">
        <f t="shared" si="1"/>
        <v>0.54938271604938271</v>
      </c>
      <c r="J5" s="45">
        <f t="shared" si="2"/>
        <v>3.1499026679271513E-2</v>
      </c>
      <c r="N5" s="11"/>
      <c r="O5" s="46"/>
    </row>
    <row r="6" spans="1:15" x14ac:dyDescent="0.35">
      <c r="A6">
        <v>2016</v>
      </c>
      <c r="B6" t="s">
        <v>3</v>
      </c>
      <c r="C6">
        <v>93</v>
      </c>
      <c r="D6">
        <v>69</v>
      </c>
      <c r="E6">
        <v>878</v>
      </c>
      <c r="F6">
        <v>694</v>
      </c>
      <c r="G6" s="45">
        <f t="shared" si="0"/>
        <v>1.2651296829971181</v>
      </c>
      <c r="H6" s="45">
        <f t="shared" si="3"/>
        <v>0.60427606958258628</v>
      </c>
      <c r="I6" s="45">
        <f t="shared" si="1"/>
        <v>0.57407407407407407</v>
      </c>
      <c r="J6" s="45">
        <f t="shared" si="2"/>
        <v>3.0201995508512214E-2</v>
      </c>
      <c r="N6" s="11"/>
      <c r="O6" s="46"/>
    </row>
    <row r="7" spans="1:15" x14ac:dyDescent="0.35">
      <c r="A7">
        <v>2016</v>
      </c>
      <c r="B7" t="s">
        <v>4</v>
      </c>
      <c r="C7">
        <v>103</v>
      </c>
      <c r="D7">
        <v>58</v>
      </c>
      <c r="E7">
        <v>808</v>
      </c>
      <c r="F7">
        <v>556</v>
      </c>
      <c r="G7" s="45">
        <f t="shared" si="0"/>
        <v>1.4532374100719425</v>
      </c>
      <c r="H7" s="45">
        <f t="shared" si="3"/>
        <v>0.66213627973621658</v>
      </c>
      <c r="I7" s="45">
        <f t="shared" si="1"/>
        <v>0.63580246913580252</v>
      </c>
      <c r="J7" s="45">
        <f t="shared" si="2"/>
        <v>2.6333810600414065E-2</v>
      </c>
      <c r="N7" s="11"/>
      <c r="O7" s="46"/>
    </row>
    <row r="8" spans="1:15" x14ac:dyDescent="0.35">
      <c r="A8">
        <v>2016</v>
      </c>
      <c r="B8" t="s">
        <v>5</v>
      </c>
      <c r="C8">
        <v>78</v>
      </c>
      <c r="D8">
        <v>84</v>
      </c>
      <c r="E8">
        <v>686</v>
      </c>
      <c r="F8">
        <v>715</v>
      </c>
      <c r="G8" s="45">
        <f t="shared" si="0"/>
        <v>0.95944055944055939</v>
      </c>
      <c r="H8" s="45">
        <f t="shared" si="3"/>
        <v>0.48137640793766667</v>
      </c>
      <c r="I8" s="45">
        <f t="shared" si="1"/>
        <v>0.48148148148148145</v>
      </c>
      <c r="J8" s="45">
        <f t="shared" si="2"/>
        <v>1.0507354381478207E-4</v>
      </c>
      <c r="N8" s="11"/>
      <c r="O8" s="46"/>
    </row>
    <row r="9" spans="1:15" x14ac:dyDescent="0.35">
      <c r="A9">
        <v>2016</v>
      </c>
      <c r="B9" t="s">
        <v>6</v>
      </c>
      <c r="C9">
        <v>68</v>
      </c>
      <c r="D9">
        <v>94</v>
      </c>
      <c r="E9">
        <v>716</v>
      </c>
      <c r="F9">
        <v>854</v>
      </c>
      <c r="G9" s="45">
        <f t="shared" si="0"/>
        <v>0.83840749414519911</v>
      </c>
      <c r="H9" s="45">
        <f t="shared" si="3"/>
        <v>0.42134563909344835</v>
      </c>
      <c r="I9" s="45">
        <f t="shared" si="1"/>
        <v>0.41975308641975306</v>
      </c>
      <c r="J9" s="45">
        <f t="shared" si="2"/>
        <v>1.5925526736952911E-3</v>
      </c>
      <c r="N9" s="11"/>
      <c r="O9" s="46"/>
    </row>
    <row r="10" spans="1:15" x14ac:dyDescent="0.35">
      <c r="A10">
        <v>2016</v>
      </c>
      <c r="B10" t="s">
        <v>7</v>
      </c>
      <c r="C10">
        <v>94</v>
      </c>
      <c r="D10">
        <v>67</v>
      </c>
      <c r="E10">
        <v>777</v>
      </c>
      <c r="F10">
        <v>676</v>
      </c>
      <c r="G10" s="45">
        <f t="shared" si="0"/>
        <v>1.1494082840236686</v>
      </c>
      <c r="H10" s="45">
        <f t="shared" si="3"/>
        <v>0.56233527407886141</v>
      </c>
      <c r="I10" s="45">
        <f t="shared" si="1"/>
        <v>0.58024691358024694</v>
      </c>
      <c r="J10" s="45">
        <f t="shared" si="2"/>
        <v>1.7911639501385523E-2</v>
      </c>
      <c r="N10" s="11"/>
      <c r="O10" s="46"/>
    </row>
    <row r="11" spans="1:15" x14ac:dyDescent="0.35">
      <c r="A11">
        <v>2016</v>
      </c>
      <c r="B11" t="s">
        <v>8</v>
      </c>
      <c r="C11">
        <v>75</v>
      </c>
      <c r="D11">
        <v>87</v>
      </c>
      <c r="E11">
        <v>845</v>
      </c>
      <c r="F11">
        <v>860</v>
      </c>
      <c r="G11" s="45">
        <f t="shared" si="0"/>
        <v>0.98255813953488369</v>
      </c>
      <c r="H11" s="45">
        <f t="shared" si="3"/>
        <v>0.49208256899532171</v>
      </c>
      <c r="I11" s="45">
        <f t="shared" si="1"/>
        <v>0.46296296296296297</v>
      </c>
      <c r="J11" s="45">
        <f t="shared" si="2"/>
        <v>2.9119606032358747E-2</v>
      </c>
      <c r="N11" s="11"/>
      <c r="O11" s="46"/>
    </row>
    <row r="12" spans="1:15" x14ac:dyDescent="0.35">
      <c r="A12">
        <v>2016</v>
      </c>
      <c r="B12" t="s">
        <v>9</v>
      </c>
      <c r="C12">
        <v>86</v>
      </c>
      <c r="D12">
        <v>75</v>
      </c>
      <c r="E12">
        <v>750</v>
      </c>
      <c r="F12">
        <v>721</v>
      </c>
      <c r="G12" s="45">
        <f t="shared" si="0"/>
        <v>1.0402219140083218</v>
      </c>
      <c r="H12" s="45">
        <f t="shared" si="3"/>
        <v>0.51773788431558143</v>
      </c>
      <c r="I12" s="45">
        <f t="shared" si="1"/>
        <v>0.53086419753086422</v>
      </c>
      <c r="J12" s="45">
        <f t="shared" si="2"/>
        <v>1.3126313215282792E-2</v>
      </c>
      <c r="N12" s="11"/>
      <c r="O12" s="46"/>
    </row>
    <row r="13" spans="1:15" x14ac:dyDescent="0.35">
      <c r="A13">
        <v>2016</v>
      </c>
      <c r="B13" t="s">
        <v>10</v>
      </c>
      <c r="C13">
        <v>84</v>
      </c>
      <c r="D13">
        <v>78</v>
      </c>
      <c r="E13">
        <v>724</v>
      </c>
      <c r="F13">
        <v>701</v>
      </c>
      <c r="G13" s="45">
        <f t="shared" si="0"/>
        <v>1.0328102710413696</v>
      </c>
      <c r="H13" s="45">
        <f t="shared" si="3"/>
        <v>0.51452349071792691</v>
      </c>
      <c r="I13" s="45">
        <f t="shared" si="1"/>
        <v>0.51851851851851849</v>
      </c>
      <c r="J13" s="45">
        <f t="shared" si="2"/>
        <v>3.9950278005915774E-3</v>
      </c>
      <c r="N13" s="11"/>
      <c r="O13" s="46"/>
    </row>
    <row r="14" spans="1:15" x14ac:dyDescent="0.35">
      <c r="A14">
        <v>2016</v>
      </c>
      <c r="B14" t="s">
        <v>11</v>
      </c>
      <c r="C14">
        <v>81</v>
      </c>
      <c r="D14">
        <v>81</v>
      </c>
      <c r="E14">
        <v>675</v>
      </c>
      <c r="F14">
        <v>712</v>
      </c>
      <c r="G14" s="45">
        <f t="shared" si="0"/>
        <v>0.9480337078651685</v>
      </c>
      <c r="H14" s="45">
        <f t="shared" si="3"/>
        <v>0.47600409881579492</v>
      </c>
      <c r="I14" s="45">
        <f t="shared" si="1"/>
        <v>0.5</v>
      </c>
      <c r="J14" s="45">
        <f t="shared" si="2"/>
        <v>2.3995901184205082E-2</v>
      </c>
      <c r="N14" s="11"/>
      <c r="O14" s="46"/>
    </row>
    <row r="15" spans="1:15" x14ac:dyDescent="0.35">
      <c r="A15">
        <v>2016</v>
      </c>
      <c r="B15" t="s">
        <v>12</v>
      </c>
      <c r="C15">
        <v>74</v>
      </c>
      <c r="D15">
        <v>88</v>
      </c>
      <c r="E15">
        <v>717</v>
      </c>
      <c r="F15">
        <v>727</v>
      </c>
      <c r="G15" s="45">
        <f t="shared" si="0"/>
        <v>0.98624484181568084</v>
      </c>
      <c r="H15" s="45">
        <f t="shared" si="3"/>
        <v>0.4937675361983237</v>
      </c>
      <c r="I15" s="45">
        <f t="shared" si="1"/>
        <v>0.4567901234567901</v>
      </c>
      <c r="J15" s="45">
        <f t="shared" si="2"/>
        <v>3.69774127415336E-2</v>
      </c>
      <c r="N15" s="11"/>
      <c r="O15" s="46"/>
    </row>
    <row r="16" spans="1:15" x14ac:dyDescent="0.35">
      <c r="A16">
        <v>2016</v>
      </c>
      <c r="B16" t="s">
        <v>13</v>
      </c>
      <c r="C16">
        <v>91</v>
      </c>
      <c r="D16">
        <v>71</v>
      </c>
      <c r="E16">
        <v>725</v>
      </c>
      <c r="F16">
        <v>638</v>
      </c>
      <c r="G16" s="45">
        <f t="shared" si="0"/>
        <v>1.1363636363636365</v>
      </c>
      <c r="H16" s="45">
        <f t="shared" si="3"/>
        <v>0.55727254367965084</v>
      </c>
      <c r="I16" s="45">
        <f t="shared" si="1"/>
        <v>0.56172839506172845</v>
      </c>
      <c r="J16" s="45">
        <f t="shared" si="2"/>
        <v>4.4558513820776025E-3</v>
      </c>
      <c r="N16" s="11"/>
      <c r="O16" s="46"/>
    </row>
    <row r="17" spans="1:15" x14ac:dyDescent="0.35">
      <c r="A17">
        <v>2016</v>
      </c>
      <c r="B17" t="s">
        <v>14</v>
      </c>
      <c r="C17">
        <v>79</v>
      </c>
      <c r="D17">
        <v>82</v>
      </c>
      <c r="E17">
        <v>655</v>
      </c>
      <c r="F17">
        <v>682</v>
      </c>
      <c r="G17" s="45">
        <f t="shared" si="0"/>
        <v>0.96041055718475077</v>
      </c>
      <c r="H17" s="45">
        <f t="shared" si="3"/>
        <v>0.48183051407747046</v>
      </c>
      <c r="I17" s="45">
        <f t="shared" si="1"/>
        <v>0.48765432098765432</v>
      </c>
      <c r="J17" s="45">
        <f t="shared" si="2"/>
        <v>5.8238069101838597E-3</v>
      </c>
      <c r="N17" s="11"/>
      <c r="O17" s="46"/>
    </row>
    <row r="18" spans="1:15" x14ac:dyDescent="0.35">
      <c r="A18">
        <v>2016</v>
      </c>
      <c r="B18" t="s">
        <v>15</v>
      </c>
      <c r="C18">
        <v>73</v>
      </c>
      <c r="D18">
        <v>89</v>
      </c>
      <c r="E18">
        <v>671</v>
      </c>
      <c r="F18">
        <v>733</v>
      </c>
      <c r="G18" s="45">
        <f t="shared" si="0"/>
        <v>0.91541609822646652</v>
      </c>
      <c r="H18" s="45">
        <f t="shared" si="3"/>
        <v>0.46031420042845073</v>
      </c>
      <c r="I18" s="45">
        <f t="shared" si="1"/>
        <v>0.45061728395061729</v>
      </c>
      <c r="J18" s="45">
        <f t="shared" si="2"/>
        <v>9.6969164778334394E-3</v>
      </c>
      <c r="N18" s="11"/>
      <c r="O18" s="46"/>
    </row>
    <row r="19" spans="1:15" x14ac:dyDescent="0.35">
      <c r="A19">
        <v>2016</v>
      </c>
      <c r="B19" t="s">
        <v>16</v>
      </c>
      <c r="C19">
        <v>59</v>
      </c>
      <c r="D19">
        <v>103</v>
      </c>
      <c r="E19">
        <v>722</v>
      </c>
      <c r="F19">
        <v>889</v>
      </c>
      <c r="G19" s="45">
        <f t="shared" si="0"/>
        <v>0.81214848143981999</v>
      </c>
      <c r="H19" s="45">
        <f t="shared" si="3"/>
        <v>0.40744692363325852</v>
      </c>
      <c r="I19" s="45">
        <f t="shared" si="1"/>
        <v>0.36419753086419754</v>
      </c>
      <c r="J19" s="45">
        <f t="shared" si="2"/>
        <v>4.3249392769060979E-2</v>
      </c>
      <c r="N19" s="11"/>
      <c r="O19" s="46"/>
    </row>
    <row r="20" spans="1:15" x14ac:dyDescent="0.35">
      <c r="A20">
        <v>2016</v>
      </c>
      <c r="B20" t="s">
        <v>17</v>
      </c>
      <c r="C20">
        <v>87</v>
      </c>
      <c r="D20">
        <v>75</v>
      </c>
      <c r="E20">
        <v>671</v>
      </c>
      <c r="F20">
        <v>617</v>
      </c>
      <c r="G20" s="45">
        <f t="shared" si="0"/>
        <v>1.087520259319287</v>
      </c>
      <c r="H20" s="45">
        <f t="shared" si="3"/>
        <v>0.5376834572188286</v>
      </c>
      <c r="I20" s="45">
        <f t="shared" si="1"/>
        <v>0.53703703703703709</v>
      </c>
      <c r="J20" s="45">
        <f t="shared" si="2"/>
        <v>6.4642018179150718E-4</v>
      </c>
      <c r="N20" s="11"/>
      <c r="O20" s="46"/>
    </row>
    <row r="21" spans="1:15" ht="15" thickBot="1" x14ac:dyDescent="0.4">
      <c r="A21">
        <v>2016</v>
      </c>
      <c r="B21" t="s">
        <v>18</v>
      </c>
      <c r="C21">
        <v>84</v>
      </c>
      <c r="D21">
        <v>78</v>
      </c>
      <c r="E21">
        <v>680</v>
      </c>
      <c r="F21">
        <v>702</v>
      </c>
      <c r="G21" s="45">
        <f t="shared" si="0"/>
        <v>0.96866096866096862</v>
      </c>
      <c r="H21" s="45">
        <f t="shared" si="3"/>
        <v>0.485675648191353</v>
      </c>
      <c r="I21" s="45">
        <f t="shared" si="1"/>
        <v>0.51851851851851849</v>
      </c>
      <c r="J21" s="45">
        <f t="shared" si="2"/>
        <v>3.2842870327165485E-2</v>
      </c>
      <c r="N21" s="12"/>
      <c r="O21" s="47"/>
    </row>
    <row r="22" spans="1:15" x14ac:dyDescent="0.35">
      <c r="A22">
        <v>2016</v>
      </c>
      <c r="B22" t="s">
        <v>19</v>
      </c>
      <c r="C22">
        <v>69</v>
      </c>
      <c r="D22">
        <v>93</v>
      </c>
      <c r="E22">
        <v>653</v>
      </c>
      <c r="F22">
        <v>761</v>
      </c>
      <c r="G22" s="45">
        <f t="shared" si="0"/>
        <v>0.85808147174770044</v>
      </c>
      <c r="H22" s="45">
        <f t="shared" si="3"/>
        <v>0.43155705733609878</v>
      </c>
      <c r="I22" s="45">
        <f t="shared" si="1"/>
        <v>0.42592592592592593</v>
      </c>
      <c r="J22" s="45">
        <f t="shared" si="2"/>
        <v>5.6311314101728516E-3</v>
      </c>
    </row>
    <row r="23" spans="1:15" x14ac:dyDescent="0.35">
      <c r="A23">
        <v>2016</v>
      </c>
      <c r="B23" t="s">
        <v>20</v>
      </c>
      <c r="C23">
        <v>71</v>
      </c>
      <c r="D23">
        <v>91</v>
      </c>
      <c r="E23">
        <v>610</v>
      </c>
      <c r="F23">
        <v>796</v>
      </c>
      <c r="G23" s="45">
        <f t="shared" si="0"/>
        <v>0.76633165829145733</v>
      </c>
      <c r="H23" s="45">
        <f t="shared" si="3"/>
        <v>0.38247590938052467</v>
      </c>
      <c r="I23" s="45">
        <f t="shared" si="1"/>
        <v>0.43827160493827161</v>
      </c>
      <c r="J23" s="45">
        <f t="shared" si="2"/>
        <v>5.5795695557746938E-2</v>
      </c>
    </row>
    <row r="24" spans="1:15" x14ac:dyDescent="0.35">
      <c r="A24">
        <v>2016</v>
      </c>
      <c r="B24" t="s">
        <v>21</v>
      </c>
      <c r="C24">
        <v>78</v>
      </c>
      <c r="D24">
        <v>83</v>
      </c>
      <c r="E24">
        <v>729</v>
      </c>
      <c r="F24">
        <v>758</v>
      </c>
      <c r="G24" s="45">
        <f t="shared" si="0"/>
        <v>0.96174142480211078</v>
      </c>
      <c r="H24" s="45">
        <f t="shared" si="3"/>
        <v>0.48245286492228129</v>
      </c>
      <c r="I24" s="45">
        <f t="shared" si="1"/>
        <v>0.48148148148148145</v>
      </c>
      <c r="J24" s="45">
        <f t="shared" si="2"/>
        <v>9.7138344079983341E-4</v>
      </c>
    </row>
    <row r="25" spans="1:15" x14ac:dyDescent="0.35">
      <c r="A25">
        <v>2016</v>
      </c>
      <c r="B25" t="s">
        <v>22</v>
      </c>
      <c r="C25">
        <v>68</v>
      </c>
      <c r="D25">
        <v>94</v>
      </c>
      <c r="E25">
        <v>686</v>
      </c>
      <c r="F25">
        <v>770</v>
      </c>
      <c r="G25" s="45">
        <f t="shared" si="0"/>
        <v>0.89090909090909087</v>
      </c>
      <c r="H25" s="45">
        <f t="shared" si="3"/>
        <v>0.44820566445013221</v>
      </c>
      <c r="I25" s="45">
        <f t="shared" si="1"/>
        <v>0.41975308641975306</v>
      </c>
      <c r="J25" s="45">
        <f t="shared" si="2"/>
        <v>2.845257803037915E-2</v>
      </c>
    </row>
    <row r="26" spans="1:15" x14ac:dyDescent="0.35">
      <c r="A26">
        <v>2016</v>
      </c>
      <c r="B26" t="s">
        <v>23</v>
      </c>
      <c r="C26">
        <v>86</v>
      </c>
      <c r="D26">
        <v>76</v>
      </c>
      <c r="E26">
        <v>768</v>
      </c>
      <c r="F26">
        <v>707</v>
      </c>
      <c r="G26" s="45">
        <f t="shared" si="0"/>
        <v>1.0862800565770863</v>
      </c>
      <c r="H26" s="45">
        <f t="shared" si="3"/>
        <v>0.5371728638642026</v>
      </c>
      <c r="I26" s="45">
        <f t="shared" si="1"/>
        <v>0.53086419753086422</v>
      </c>
      <c r="J26" s="45">
        <f t="shared" si="2"/>
        <v>6.3086663333383752E-3</v>
      </c>
    </row>
    <row r="27" spans="1:15" x14ac:dyDescent="0.35">
      <c r="A27">
        <v>2016</v>
      </c>
      <c r="B27" t="s">
        <v>24</v>
      </c>
      <c r="C27">
        <v>87</v>
      </c>
      <c r="D27">
        <v>75</v>
      </c>
      <c r="E27">
        <v>715</v>
      </c>
      <c r="F27">
        <v>631</v>
      </c>
      <c r="G27" s="45">
        <f t="shared" si="0"/>
        <v>1.133122028526149</v>
      </c>
      <c r="H27" s="45">
        <f t="shared" si="3"/>
        <v>0.55600352829019994</v>
      </c>
      <c r="I27" s="45">
        <f t="shared" si="1"/>
        <v>0.53703703703703709</v>
      </c>
      <c r="J27" s="45">
        <f t="shared" si="2"/>
        <v>1.8966491253162854E-2</v>
      </c>
    </row>
    <row r="28" spans="1:15" x14ac:dyDescent="0.35">
      <c r="A28">
        <v>2016</v>
      </c>
      <c r="B28" t="s">
        <v>25</v>
      </c>
      <c r="C28">
        <v>86</v>
      </c>
      <c r="D28">
        <v>76</v>
      </c>
      <c r="E28">
        <v>779</v>
      </c>
      <c r="F28">
        <v>712</v>
      </c>
      <c r="G28" s="45">
        <f t="shared" si="0"/>
        <v>1.0941011235955056</v>
      </c>
      <c r="H28" s="45">
        <f t="shared" si="3"/>
        <v>0.54038176525457171</v>
      </c>
      <c r="I28" s="45">
        <f t="shared" si="1"/>
        <v>0.53086419753086422</v>
      </c>
      <c r="J28" s="45">
        <f t="shared" si="2"/>
        <v>9.5175677237074874E-3</v>
      </c>
    </row>
    <row r="29" spans="1:15" x14ac:dyDescent="0.35">
      <c r="A29">
        <v>2016</v>
      </c>
      <c r="B29" t="s">
        <v>26</v>
      </c>
      <c r="C29">
        <v>68</v>
      </c>
      <c r="D29">
        <v>94</v>
      </c>
      <c r="E29">
        <v>672</v>
      </c>
      <c r="F29">
        <v>713</v>
      </c>
      <c r="G29" s="45">
        <f t="shared" si="0"/>
        <v>0.94249649368863953</v>
      </c>
      <c r="H29" s="45">
        <f t="shared" si="3"/>
        <v>0.47337482307141154</v>
      </c>
      <c r="I29" s="45">
        <f t="shared" si="1"/>
        <v>0.41975308641975306</v>
      </c>
      <c r="J29" s="45">
        <f t="shared" si="2"/>
        <v>5.362173665165848E-2</v>
      </c>
    </row>
    <row r="30" spans="1:15" x14ac:dyDescent="0.35">
      <c r="A30">
        <v>2016</v>
      </c>
      <c r="B30" t="s">
        <v>27</v>
      </c>
      <c r="C30">
        <v>95</v>
      </c>
      <c r="D30">
        <v>67</v>
      </c>
      <c r="E30">
        <v>765</v>
      </c>
      <c r="F30">
        <v>757</v>
      </c>
      <c r="G30" s="45">
        <f t="shared" si="0"/>
        <v>1.010568031704095</v>
      </c>
      <c r="H30" s="45">
        <f t="shared" si="3"/>
        <v>0.50473052002254271</v>
      </c>
      <c r="I30" s="45">
        <f t="shared" si="1"/>
        <v>0.5864197530864198</v>
      </c>
      <c r="J30" s="45">
        <f t="shared" si="2"/>
        <v>8.1689233063877098E-2</v>
      </c>
    </row>
    <row r="31" spans="1:15" x14ac:dyDescent="0.35">
      <c r="A31">
        <v>2016</v>
      </c>
      <c r="B31" t="s">
        <v>28</v>
      </c>
      <c r="C31">
        <v>89</v>
      </c>
      <c r="D31">
        <v>73</v>
      </c>
      <c r="E31">
        <v>759</v>
      </c>
      <c r="F31">
        <v>666</v>
      </c>
      <c r="G31" s="45">
        <f t="shared" si="0"/>
        <v>1.1396396396396395</v>
      </c>
      <c r="H31" s="45">
        <f t="shared" si="3"/>
        <v>0.55855059563629261</v>
      </c>
      <c r="I31" s="45">
        <f t="shared" si="1"/>
        <v>0.54938271604938271</v>
      </c>
      <c r="J31" s="45">
        <f t="shared" si="2"/>
        <v>9.1678795869098995E-3</v>
      </c>
    </row>
    <row r="32" spans="1:15" x14ac:dyDescent="0.35">
      <c r="A32">
        <v>2016</v>
      </c>
      <c r="B32" t="s">
        <v>29</v>
      </c>
      <c r="C32">
        <v>95</v>
      </c>
      <c r="D32">
        <v>67</v>
      </c>
      <c r="E32">
        <v>763</v>
      </c>
      <c r="F32">
        <v>612</v>
      </c>
      <c r="G32" s="45">
        <f t="shared" si="0"/>
        <v>1.2467320261437909</v>
      </c>
      <c r="H32" s="45">
        <f t="shared" si="3"/>
        <v>0.59795376676100664</v>
      </c>
      <c r="I32" s="45">
        <f t="shared" si="1"/>
        <v>0.5864197530864198</v>
      </c>
      <c r="J32" s="45">
        <f t="shared" si="2"/>
        <v>1.153401367458684E-2</v>
      </c>
    </row>
    <row r="33" spans="1:10" x14ac:dyDescent="0.35">
      <c r="A33">
        <v>2015</v>
      </c>
      <c r="B33" t="s">
        <v>0</v>
      </c>
      <c r="C33">
        <v>79</v>
      </c>
      <c r="D33">
        <v>83</v>
      </c>
      <c r="E33">
        <v>720</v>
      </c>
      <c r="F33">
        <v>713</v>
      </c>
      <c r="G33" s="45">
        <f t="shared" si="0"/>
        <v>1.0098176718092566</v>
      </c>
      <c r="H33" s="45">
        <f t="shared" si="3"/>
        <v>0.50439629292102461</v>
      </c>
      <c r="I33" s="45">
        <f t="shared" si="1"/>
        <v>0.48765432098765432</v>
      </c>
      <c r="J33" s="45">
        <f t="shared" si="2"/>
        <v>1.6741971933370292E-2</v>
      </c>
    </row>
    <row r="34" spans="1:10" x14ac:dyDescent="0.35">
      <c r="A34">
        <v>2015</v>
      </c>
      <c r="B34" t="s">
        <v>1</v>
      </c>
      <c r="C34">
        <v>67</v>
      </c>
      <c r="D34">
        <v>95</v>
      </c>
      <c r="E34">
        <v>573</v>
      </c>
      <c r="F34">
        <v>760</v>
      </c>
      <c r="G34" s="45">
        <f t="shared" si="0"/>
        <v>0.75394736842105259</v>
      </c>
      <c r="H34" s="45">
        <f t="shared" si="3"/>
        <v>0.37557362842237352</v>
      </c>
      <c r="I34" s="45">
        <f t="shared" si="1"/>
        <v>0.41358024691358025</v>
      </c>
      <c r="J34" s="45">
        <f t="shared" si="2"/>
        <v>3.8006618491206734E-2</v>
      </c>
    </row>
    <row r="35" spans="1:10" x14ac:dyDescent="0.35">
      <c r="A35">
        <v>2015</v>
      </c>
      <c r="B35" t="s">
        <v>2</v>
      </c>
      <c r="C35">
        <v>81</v>
      </c>
      <c r="D35">
        <v>81</v>
      </c>
      <c r="E35">
        <v>713</v>
      </c>
      <c r="F35">
        <v>693</v>
      </c>
      <c r="G35" s="45">
        <f t="shared" si="0"/>
        <v>1.0288600288600289</v>
      </c>
      <c r="H35" s="45">
        <f t="shared" si="3"/>
        <v>0.51280034202398173</v>
      </c>
      <c r="I35" s="45">
        <f t="shared" si="1"/>
        <v>0.5</v>
      </c>
      <c r="J35" s="45">
        <f t="shared" si="2"/>
        <v>1.2800342023981726E-2</v>
      </c>
    </row>
    <row r="36" spans="1:10" x14ac:dyDescent="0.35">
      <c r="A36">
        <v>2015</v>
      </c>
      <c r="B36" t="s">
        <v>3</v>
      </c>
      <c r="C36">
        <v>78</v>
      </c>
      <c r="D36">
        <v>84</v>
      </c>
      <c r="E36">
        <v>748</v>
      </c>
      <c r="F36">
        <v>753</v>
      </c>
      <c r="G36" s="45">
        <f t="shared" si="0"/>
        <v>0.99335989375830014</v>
      </c>
      <c r="H36" s="45">
        <f t="shared" si="3"/>
        <v>0.49700202350654049</v>
      </c>
      <c r="I36" s="45">
        <f t="shared" si="1"/>
        <v>0.48148148148148145</v>
      </c>
      <c r="J36" s="45">
        <f t="shared" si="2"/>
        <v>1.5520542025059036E-2</v>
      </c>
    </row>
    <row r="37" spans="1:10" x14ac:dyDescent="0.35">
      <c r="A37">
        <v>2015</v>
      </c>
      <c r="B37" t="s">
        <v>4</v>
      </c>
      <c r="C37">
        <v>97</v>
      </c>
      <c r="D37">
        <v>65</v>
      </c>
      <c r="E37">
        <v>689</v>
      </c>
      <c r="F37">
        <v>608</v>
      </c>
      <c r="G37" s="45">
        <f t="shared" si="0"/>
        <v>1.1332236842105263</v>
      </c>
      <c r="H37" s="45">
        <f t="shared" si="3"/>
        <v>0.55604339047966311</v>
      </c>
      <c r="I37" s="45">
        <f t="shared" si="1"/>
        <v>0.59876543209876543</v>
      </c>
      <c r="J37" s="45">
        <f t="shared" si="2"/>
        <v>4.2722041619102313E-2</v>
      </c>
    </row>
    <row r="38" spans="1:10" x14ac:dyDescent="0.35">
      <c r="A38">
        <v>2015</v>
      </c>
      <c r="B38" t="s">
        <v>5</v>
      </c>
      <c r="C38">
        <v>76</v>
      </c>
      <c r="D38">
        <v>86</v>
      </c>
      <c r="E38">
        <v>622</v>
      </c>
      <c r="F38">
        <v>701</v>
      </c>
      <c r="G38" s="45">
        <f t="shared" si="0"/>
        <v>0.88730385164051351</v>
      </c>
      <c r="H38" s="45">
        <f t="shared" si="3"/>
        <v>0.44640122661653092</v>
      </c>
      <c r="I38" s="45">
        <f t="shared" si="1"/>
        <v>0.46913580246913578</v>
      </c>
      <c r="J38" s="45">
        <f t="shared" si="2"/>
        <v>2.2734575852604855E-2</v>
      </c>
    </row>
    <row r="39" spans="1:10" x14ac:dyDescent="0.35">
      <c r="A39">
        <v>2015</v>
      </c>
      <c r="B39" t="s">
        <v>6</v>
      </c>
      <c r="C39">
        <v>64</v>
      </c>
      <c r="D39">
        <v>98</v>
      </c>
      <c r="E39">
        <v>640</v>
      </c>
      <c r="F39">
        <v>754</v>
      </c>
      <c r="G39" s="45">
        <f t="shared" si="0"/>
        <v>0.8488063660477454</v>
      </c>
      <c r="H39" s="45">
        <f t="shared" si="3"/>
        <v>0.42676468182130306</v>
      </c>
      <c r="I39" s="45">
        <f t="shared" si="1"/>
        <v>0.39506172839506171</v>
      </c>
      <c r="J39" s="45">
        <f t="shared" si="2"/>
        <v>3.1702953426241354E-2</v>
      </c>
    </row>
    <row r="40" spans="1:10" x14ac:dyDescent="0.35">
      <c r="A40">
        <v>2015</v>
      </c>
      <c r="B40" t="s">
        <v>7</v>
      </c>
      <c r="C40">
        <v>81</v>
      </c>
      <c r="D40">
        <v>80</v>
      </c>
      <c r="E40">
        <v>669</v>
      </c>
      <c r="F40">
        <v>640</v>
      </c>
      <c r="G40" s="45">
        <f t="shared" si="0"/>
        <v>1.0453125000000001</v>
      </c>
      <c r="H40" s="45">
        <f t="shared" si="3"/>
        <v>0.51993158005222484</v>
      </c>
      <c r="I40" s="45">
        <f t="shared" si="1"/>
        <v>0.5</v>
      </c>
      <c r="J40" s="45">
        <f t="shared" si="2"/>
        <v>1.993158005222484E-2</v>
      </c>
    </row>
    <row r="41" spans="1:10" x14ac:dyDescent="0.35">
      <c r="A41">
        <v>2015</v>
      </c>
      <c r="B41" t="s">
        <v>8</v>
      </c>
      <c r="C41">
        <v>68</v>
      </c>
      <c r="D41">
        <v>94</v>
      </c>
      <c r="E41">
        <v>737</v>
      </c>
      <c r="F41">
        <v>844</v>
      </c>
      <c r="G41" s="45">
        <f t="shared" si="0"/>
        <v>0.87322274881516593</v>
      </c>
      <c r="H41" s="45">
        <f t="shared" si="3"/>
        <v>0.43929683923650975</v>
      </c>
      <c r="I41" s="45">
        <f t="shared" si="1"/>
        <v>0.41975308641975306</v>
      </c>
      <c r="J41" s="45">
        <f t="shared" si="2"/>
        <v>1.9543752816756688E-2</v>
      </c>
    </row>
    <row r="42" spans="1:10" x14ac:dyDescent="0.35">
      <c r="A42">
        <v>2015</v>
      </c>
      <c r="B42" t="s">
        <v>9</v>
      </c>
      <c r="C42">
        <v>74</v>
      </c>
      <c r="D42">
        <v>87</v>
      </c>
      <c r="E42">
        <v>689</v>
      </c>
      <c r="F42">
        <v>803</v>
      </c>
      <c r="G42" s="45">
        <f t="shared" si="0"/>
        <v>0.85803237858032377</v>
      </c>
      <c r="H42" s="45">
        <f t="shared" si="3"/>
        <v>0.43153179348821813</v>
      </c>
      <c r="I42" s="45">
        <f t="shared" si="1"/>
        <v>0.4567901234567901</v>
      </c>
      <c r="J42" s="45">
        <f t="shared" si="2"/>
        <v>2.5258329968571969E-2</v>
      </c>
    </row>
    <row r="43" spans="1:10" x14ac:dyDescent="0.35">
      <c r="A43">
        <v>2015</v>
      </c>
      <c r="B43" t="s">
        <v>10</v>
      </c>
      <c r="C43">
        <v>86</v>
      </c>
      <c r="D43">
        <v>76</v>
      </c>
      <c r="E43">
        <v>729</v>
      </c>
      <c r="F43">
        <v>618</v>
      </c>
      <c r="G43" s="45">
        <f t="shared" si="0"/>
        <v>1.1796116504854368</v>
      </c>
      <c r="H43" s="45">
        <f t="shared" si="3"/>
        <v>0.57379053827131421</v>
      </c>
      <c r="I43" s="45">
        <f t="shared" si="1"/>
        <v>0.53086419753086422</v>
      </c>
      <c r="J43" s="45">
        <f t="shared" si="2"/>
        <v>4.2926340740449986E-2</v>
      </c>
    </row>
    <row r="44" spans="1:10" x14ac:dyDescent="0.35">
      <c r="A44">
        <v>2015</v>
      </c>
      <c r="B44" t="s">
        <v>11</v>
      </c>
      <c r="C44">
        <v>95</v>
      </c>
      <c r="D44">
        <v>67</v>
      </c>
      <c r="E44">
        <v>724</v>
      </c>
      <c r="F44">
        <v>641</v>
      </c>
      <c r="G44" s="45">
        <f t="shared" si="0"/>
        <v>1.1294851794071763</v>
      </c>
      <c r="H44" s="45">
        <f t="shared" si="3"/>
        <v>0.55457458297192797</v>
      </c>
      <c r="I44" s="45">
        <f t="shared" si="1"/>
        <v>0.5864197530864198</v>
      </c>
      <c r="J44" s="45">
        <f t="shared" si="2"/>
        <v>3.1845170114491839E-2</v>
      </c>
    </row>
    <row r="45" spans="1:10" x14ac:dyDescent="0.35">
      <c r="A45">
        <v>2015</v>
      </c>
      <c r="B45" t="s">
        <v>12</v>
      </c>
      <c r="C45">
        <v>85</v>
      </c>
      <c r="D45">
        <v>77</v>
      </c>
      <c r="E45">
        <v>661</v>
      </c>
      <c r="F45">
        <v>675</v>
      </c>
      <c r="G45" s="45">
        <f t="shared" si="0"/>
        <v>0.97925925925925927</v>
      </c>
      <c r="H45" s="45">
        <f t="shared" si="3"/>
        <v>0.49056963549141797</v>
      </c>
      <c r="I45" s="45">
        <f t="shared" si="1"/>
        <v>0.52469135802469136</v>
      </c>
      <c r="J45" s="45">
        <f t="shared" si="2"/>
        <v>3.4121722533273391E-2</v>
      </c>
    </row>
    <row r="46" spans="1:10" x14ac:dyDescent="0.35">
      <c r="A46">
        <v>2015</v>
      </c>
      <c r="B46" t="s">
        <v>13</v>
      </c>
      <c r="C46">
        <v>92</v>
      </c>
      <c r="D46">
        <v>70</v>
      </c>
      <c r="E46">
        <v>667</v>
      </c>
      <c r="F46">
        <v>595</v>
      </c>
      <c r="G46" s="45">
        <f t="shared" si="0"/>
        <v>1.1210084033613446</v>
      </c>
      <c r="H46" s="45">
        <f t="shared" si="3"/>
        <v>0.55122255764671624</v>
      </c>
      <c r="I46" s="45">
        <f t="shared" si="1"/>
        <v>0.5679012345679012</v>
      </c>
      <c r="J46" s="45">
        <f t="shared" si="2"/>
        <v>1.6678676921184965E-2</v>
      </c>
    </row>
    <row r="47" spans="1:10" x14ac:dyDescent="0.35">
      <c r="A47">
        <v>2015</v>
      </c>
      <c r="B47" t="s">
        <v>14</v>
      </c>
      <c r="C47">
        <v>71</v>
      </c>
      <c r="D47">
        <v>91</v>
      </c>
      <c r="E47">
        <v>613</v>
      </c>
      <c r="F47">
        <v>678</v>
      </c>
      <c r="G47" s="45">
        <f t="shared" si="0"/>
        <v>0.90412979351032452</v>
      </c>
      <c r="H47" s="45">
        <f t="shared" si="3"/>
        <v>0.4547719076960744</v>
      </c>
      <c r="I47" s="45">
        <f t="shared" si="1"/>
        <v>0.43827160493827161</v>
      </c>
      <c r="J47" s="45">
        <f t="shared" si="2"/>
        <v>1.6500302757802787E-2</v>
      </c>
    </row>
    <row r="48" spans="1:10" x14ac:dyDescent="0.35">
      <c r="A48">
        <v>2015</v>
      </c>
      <c r="B48" t="s">
        <v>15</v>
      </c>
      <c r="C48">
        <v>68</v>
      </c>
      <c r="D48">
        <v>94</v>
      </c>
      <c r="E48">
        <v>655</v>
      </c>
      <c r="F48">
        <v>737</v>
      </c>
      <c r="G48" s="45">
        <f t="shared" si="0"/>
        <v>0.88873812754409764</v>
      </c>
      <c r="H48" s="45">
        <f t="shared" si="3"/>
        <v>0.44711979804059909</v>
      </c>
      <c r="I48" s="45">
        <f t="shared" si="1"/>
        <v>0.41975308641975306</v>
      </c>
      <c r="J48" s="45">
        <f t="shared" si="2"/>
        <v>2.7366711620846029E-2</v>
      </c>
    </row>
    <row r="49" spans="1:10" x14ac:dyDescent="0.35">
      <c r="A49">
        <v>2015</v>
      </c>
      <c r="B49" t="s">
        <v>16</v>
      </c>
      <c r="C49">
        <v>83</v>
      </c>
      <c r="D49">
        <v>79</v>
      </c>
      <c r="E49">
        <v>696</v>
      </c>
      <c r="F49">
        <v>700</v>
      </c>
      <c r="G49" s="45">
        <f t="shared" si="0"/>
        <v>0.99428571428571433</v>
      </c>
      <c r="H49" s="45">
        <f t="shared" si="3"/>
        <v>0.49742121924688987</v>
      </c>
      <c r="I49" s="45">
        <f t="shared" si="1"/>
        <v>0.51234567901234573</v>
      </c>
      <c r="J49" s="45">
        <f t="shared" si="2"/>
        <v>1.4924459765455866E-2</v>
      </c>
    </row>
    <row r="50" spans="1:10" x14ac:dyDescent="0.35">
      <c r="A50">
        <v>2015</v>
      </c>
      <c r="B50" t="s">
        <v>17</v>
      </c>
      <c r="C50">
        <v>90</v>
      </c>
      <c r="D50">
        <v>72</v>
      </c>
      <c r="E50">
        <v>683</v>
      </c>
      <c r="F50">
        <v>613</v>
      </c>
      <c r="G50" s="45">
        <f t="shared" si="0"/>
        <v>1.1141924959216967</v>
      </c>
      <c r="H50" s="45">
        <f t="shared" si="3"/>
        <v>0.54850543726995149</v>
      </c>
      <c r="I50" s="45">
        <f t="shared" si="1"/>
        <v>0.55555555555555558</v>
      </c>
      <c r="J50" s="45">
        <f t="shared" si="2"/>
        <v>7.05011828560409E-3</v>
      </c>
    </row>
    <row r="51" spans="1:10" x14ac:dyDescent="0.35">
      <c r="A51">
        <v>2015</v>
      </c>
      <c r="B51" t="s">
        <v>18</v>
      </c>
      <c r="C51">
        <v>87</v>
      </c>
      <c r="D51">
        <v>75</v>
      </c>
      <c r="E51">
        <v>764</v>
      </c>
      <c r="F51">
        <v>698</v>
      </c>
      <c r="G51" s="45">
        <f t="shared" si="0"/>
        <v>1.0945558739255015</v>
      </c>
      <c r="H51" s="45">
        <f t="shared" si="3"/>
        <v>0.54056753826674686</v>
      </c>
      <c r="I51" s="45">
        <f t="shared" si="1"/>
        <v>0.53703703703703709</v>
      </c>
      <c r="J51" s="45">
        <f t="shared" si="2"/>
        <v>3.5305012297097704E-3</v>
      </c>
    </row>
    <row r="52" spans="1:10" x14ac:dyDescent="0.35">
      <c r="A52">
        <v>2015</v>
      </c>
      <c r="B52" t="s">
        <v>19</v>
      </c>
      <c r="C52">
        <v>68</v>
      </c>
      <c r="D52">
        <v>94</v>
      </c>
      <c r="E52">
        <v>694</v>
      </c>
      <c r="F52">
        <v>729</v>
      </c>
      <c r="G52" s="45">
        <f t="shared" si="0"/>
        <v>0.9519890260631001</v>
      </c>
      <c r="H52" s="45">
        <f t="shared" si="3"/>
        <v>0.47787366314729202</v>
      </c>
      <c r="I52" s="45">
        <f t="shared" si="1"/>
        <v>0.41975308641975306</v>
      </c>
      <c r="J52" s="45">
        <f t="shared" si="2"/>
        <v>5.8120576727538953E-2</v>
      </c>
    </row>
    <row r="53" spans="1:10" x14ac:dyDescent="0.35">
      <c r="A53">
        <v>2015</v>
      </c>
      <c r="B53" t="s">
        <v>20</v>
      </c>
      <c r="C53">
        <v>63</v>
      </c>
      <c r="D53">
        <v>99</v>
      </c>
      <c r="E53">
        <v>626</v>
      </c>
      <c r="F53">
        <v>809</v>
      </c>
      <c r="G53" s="45">
        <f t="shared" si="0"/>
        <v>0.77379480840543879</v>
      </c>
      <c r="H53" s="45">
        <f t="shared" si="3"/>
        <v>0.38660457733767001</v>
      </c>
      <c r="I53" s="45">
        <f t="shared" si="1"/>
        <v>0.3888888888888889</v>
      </c>
      <c r="J53" s="45">
        <f t="shared" si="2"/>
        <v>2.2843115512188872E-3</v>
      </c>
    </row>
    <row r="54" spans="1:10" x14ac:dyDescent="0.35">
      <c r="A54">
        <v>2015</v>
      </c>
      <c r="B54" t="s">
        <v>21</v>
      </c>
      <c r="C54">
        <v>98</v>
      </c>
      <c r="D54">
        <v>64</v>
      </c>
      <c r="E54">
        <v>697</v>
      </c>
      <c r="F54">
        <v>596</v>
      </c>
      <c r="G54" s="45">
        <f t="shared" si="0"/>
        <v>1.169463087248322</v>
      </c>
      <c r="H54" s="45">
        <f t="shared" si="3"/>
        <v>0.56998269254813827</v>
      </c>
      <c r="I54" s="45">
        <f t="shared" si="1"/>
        <v>0.60493827160493829</v>
      </c>
      <c r="J54" s="45">
        <f t="shared" si="2"/>
        <v>3.4955579056800024E-2</v>
      </c>
    </row>
    <row r="55" spans="1:10" x14ac:dyDescent="0.35">
      <c r="A55">
        <v>2015</v>
      </c>
      <c r="B55" t="s">
        <v>22</v>
      </c>
      <c r="C55">
        <v>74</v>
      </c>
      <c r="D55">
        <v>88</v>
      </c>
      <c r="E55">
        <v>650</v>
      </c>
      <c r="F55">
        <v>731</v>
      </c>
      <c r="G55" s="45">
        <f t="shared" si="0"/>
        <v>0.8891928864569083</v>
      </c>
      <c r="H55" s="45">
        <f t="shared" si="3"/>
        <v>0.44734743610269118</v>
      </c>
      <c r="I55" s="45">
        <f t="shared" si="1"/>
        <v>0.4567901234567901</v>
      </c>
      <c r="J55" s="45">
        <f t="shared" si="2"/>
        <v>9.442687354098922E-3</v>
      </c>
    </row>
    <row r="56" spans="1:10" x14ac:dyDescent="0.35">
      <c r="A56">
        <v>2015</v>
      </c>
      <c r="B56" t="s">
        <v>23</v>
      </c>
      <c r="C56">
        <v>76</v>
      </c>
      <c r="D56">
        <v>86</v>
      </c>
      <c r="E56">
        <v>656</v>
      </c>
      <c r="F56">
        <v>726</v>
      </c>
      <c r="G56" s="45">
        <f t="shared" si="0"/>
        <v>0.90358126721763088</v>
      </c>
      <c r="H56" s="45">
        <f t="shared" si="3"/>
        <v>0.45450106239662014</v>
      </c>
      <c r="I56" s="45">
        <f t="shared" si="1"/>
        <v>0.46913580246913578</v>
      </c>
      <c r="J56" s="45">
        <f t="shared" si="2"/>
        <v>1.463474007251564E-2</v>
      </c>
    </row>
    <row r="57" spans="1:10" x14ac:dyDescent="0.35">
      <c r="A57">
        <v>2015</v>
      </c>
      <c r="B57" t="s">
        <v>24</v>
      </c>
      <c r="C57">
        <v>84</v>
      </c>
      <c r="D57">
        <v>78</v>
      </c>
      <c r="E57">
        <v>696</v>
      </c>
      <c r="F57">
        <v>627</v>
      </c>
      <c r="G57" s="45">
        <f t="shared" si="0"/>
        <v>1.1100478468899522</v>
      </c>
      <c r="H57" s="45">
        <f t="shared" si="3"/>
        <v>0.54684362401283382</v>
      </c>
      <c r="I57" s="45">
        <f t="shared" si="1"/>
        <v>0.51851851851851849</v>
      </c>
      <c r="J57" s="45">
        <f t="shared" si="2"/>
        <v>2.8325105494315328E-2</v>
      </c>
    </row>
    <row r="58" spans="1:10" x14ac:dyDescent="0.35">
      <c r="A58">
        <v>2015</v>
      </c>
      <c r="B58" t="s">
        <v>25</v>
      </c>
      <c r="C58">
        <v>100</v>
      </c>
      <c r="D58">
        <v>62</v>
      </c>
      <c r="E58">
        <v>647</v>
      </c>
      <c r="F58">
        <v>525</v>
      </c>
      <c r="G58" s="45">
        <f t="shared" si="0"/>
        <v>1.2323809523809524</v>
      </c>
      <c r="H58" s="45">
        <f t="shared" si="3"/>
        <v>0.59293368564199178</v>
      </c>
      <c r="I58" s="45">
        <f t="shared" si="1"/>
        <v>0.61728395061728392</v>
      </c>
      <c r="J58" s="45">
        <f t="shared" si="2"/>
        <v>2.4350264975292135E-2</v>
      </c>
    </row>
    <row r="59" spans="1:10" x14ac:dyDescent="0.35">
      <c r="A59">
        <v>2015</v>
      </c>
      <c r="B59" t="s">
        <v>26</v>
      </c>
      <c r="C59">
        <v>80</v>
      </c>
      <c r="D59">
        <v>82</v>
      </c>
      <c r="E59">
        <v>644</v>
      </c>
      <c r="F59">
        <v>642</v>
      </c>
      <c r="G59" s="45">
        <f t="shared" si="0"/>
        <v>1.0031152647975077</v>
      </c>
      <c r="H59" s="45">
        <f t="shared" si="3"/>
        <v>0.50139968643025046</v>
      </c>
      <c r="I59" s="45">
        <f t="shared" si="1"/>
        <v>0.49382716049382713</v>
      </c>
      <c r="J59" s="45">
        <f t="shared" si="2"/>
        <v>7.5725259364233244E-3</v>
      </c>
    </row>
    <row r="60" spans="1:10" x14ac:dyDescent="0.35">
      <c r="A60">
        <v>2015</v>
      </c>
      <c r="B60" t="s">
        <v>27</v>
      </c>
      <c r="C60">
        <v>88</v>
      </c>
      <c r="D60">
        <v>74</v>
      </c>
      <c r="E60">
        <v>751</v>
      </c>
      <c r="F60">
        <v>733</v>
      </c>
      <c r="G60" s="45">
        <f t="shared" si="0"/>
        <v>1.0245566166439291</v>
      </c>
      <c r="H60" s="45">
        <f t="shared" si="3"/>
        <v>0.51091524298933999</v>
      </c>
      <c r="I60" s="45">
        <f t="shared" si="1"/>
        <v>0.54320987654320985</v>
      </c>
      <c r="J60" s="45">
        <f t="shared" si="2"/>
        <v>3.2294633553869856E-2</v>
      </c>
    </row>
    <row r="61" spans="1:10" x14ac:dyDescent="0.35">
      <c r="A61">
        <v>2015</v>
      </c>
      <c r="B61" t="s">
        <v>28</v>
      </c>
      <c r="C61">
        <v>93</v>
      </c>
      <c r="D61">
        <v>69</v>
      </c>
      <c r="E61">
        <v>891</v>
      </c>
      <c r="F61">
        <v>670</v>
      </c>
      <c r="G61" s="45">
        <f t="shared" si="0"/>
        <v>1.3298507462686566</v>
      </c>
      <c r="H61" s="45">
        <f t="shared" si="3"/>
        <v>0.62553761042987877</v>
      </c>
      <c r="I61" s="45">
        <f t="shared" si="1"/>
        <v>0.57407407407407407</v>
      </c>
      <c r="J61" s="45">
        <f t="shared" si="2"/>
        <v>5.1463536355804695E-2</v>
      </c>
    </row>
    <row r="62" spans="1:10" x14ac:dyDescent="0.35">
      <c r="A62">
        <v>2015</v>
      </c>
      <c r="B62" t="s">
        <v>29</v>
      </c>
      <c r="C62">
        <v>83</v>
      </c>
      <c r="D62">
        <v>79</v>
      </c>
      <c r="E62">
        <v>703</v>
      </c>
      <c r="F62">
        <v>635</v>
      </c>
      <c r="G62" s="45">
        <f t="shared" si="0"/>
        <v>1.1070866141732283</v>
      </c>
      <c r="H62" s="45">
        <f t="shared" si="3"/>
        <v>0.54565185660186666</v>
      </c>
      <c r="I62" s="45">
        <f t="shared" si="1"/>
        <v>0.51234567901234573</v>
      </c>
      <c r="J62" s="45">
        <f t="shared" si="2"/>
        <v>3.3306177589520924E-2</v>
      </c>
    </row>
    <row r="63" spans="1:10" x14ac:dyDescent="0.35">
      <c r="A63" s="1">
        <v>2014</v>
      </c>
      <c r="B63" t="s">
        <v>0</v>
      </c>
      <c r="C63">
        <v>64</v>
      </c>
      <c r="D63">
        <v>98</v>
      </c>
      <c r="E63">
        <v>615</v>
      </c>
      <c r="F63">
        <v>742</v>
      </c>
      <c r="G63" s="45">
        <f t="shared" si="0"/>
        <v>0.82884097035040427</v>
      </c>
      <c r="H63" s="45">
        <f t="shared" si="3"/>
        <v>0.41631760318783173</v>
      </c>
      <c r="I63" s="45">
        <f t="shared" si="1"/>
        <v>0.39506172839506171</v>
      </c>
      <c r="J63" s="45">
        <f t="shared" si="2"/>
        <v>2.1255874792770024E-2</v>
      </c>
    </row>
    <row r="64" spans="1:10" x14ac:dyDescent="0.35">
      <c r="A64" s="1">
        <v>2014</v>
      </c>
      <c r="B64" t="s">
        <v>1</v>
      </c>
      <c r="C64">
        <v>79</v>
      </c>
      <c r="D64">
        <v>83</v>
      </c>
      <c r="E64">
        <v>573</v>
      </c>
      <c r="F64">
        <v>597</v>
      </c>
      <c r="G64" s="45">
        <f t="shared" si="0"/>
        <v>0.95979899497487442</v>
      </c>
      <c r="H64" s="45">
        <f t="shared" si="3"/>
        <v>0.48154426007295204</v>
      </c>
      <c r="I64" s="45">
        <f t="shared" si="1"/>
        <v>0.48765432098765432</v>
      </c>
      <c r="J64" s="45">
        <f t="shared" si="2"/>
        <v>6.1100609147022866E-3</v>
      </c>
    </row>
    <row r="65" spans="1:10" x14ac:dyDescent="0.35">
      <c r="A65" s="1">
        <v>2014</v>
      </c>
      <c r="B65" t="s">
        <v>2</v>
      </c>
      <c r="C65">
        <v>96</v>
      </c>
      <c r="D65">
        <v>66</v>
      </c>
      <c r="E65">
        <v>705</v>
      </c>
      <c r="F65">
        <v>593</v>
      </c>
      <c r="G65" s="45">
        <f t="shared" si="0"/>
        <v>1.1888701517706577</v>
      </c>
      <c r="H65" s="45">
        <f t="shared" si="3"/>
        <v>0.57722844359170133</v>
      </c>
      <c r="I65" s="45">
        <f t="shared" si="1"/>
        <v>0.59259259259259256</v>
      </c>
      <c r="J65" s="45">
        <f t="shared" si="2"/>
        <v>1.5364149000891225E-2</v>
      </c>
    </row>
    <row r="66" spans="1:10" x14ac:dyDescent="0.35">
      <c r="A66" s="1">
        <v>2014</v>
      </c>
      <c r="B66" t="s">
        <v>3</v>
      </c>
      <c r="C66">
        <v>71</v>
      </c>
      <c r="D66">
        <v>91</v>
      </c>
      <c r="E66">
        <v>634</v>
      </c>
      <c r="F66">
        <v>715</v>
      </c>
      <c r="G66" s="45">
        <f t="shared" si="0"/>
        <v>0.88671328671328675</v>
      </c>
      <c r="H66" s="45">
        <f t="shared" si="3"/>
        <v>0.44610508127342763</v>
      </c>
      <c r="I66" s="45">
        <f t="shared" si="1"/>
        <v>0.43827160493827161</v>
      </c>
      <c r="J66" s="45">
        <f t="shared" si="2"/>
        <v>7.8334763351560199E-3</v>
      </c>
    </row>
    <row r="67" spans="1:10" x14ac:dyDescent="0.35">
      <c r="A67" s="1">
        <v>2014</v>
      </c>
      <c r="B67" t="s">
        <v>4</v>
      </c>
      <c r="C67">
        <v>73</v>
      </c>
      <c r="D67">
        <v>89</v>
      </c>
      <c r="E67">
        <v>614</v>
      </c>
      <c r="F67">
        <v>707</v>
      </c>
      <c r="G67" s="45">
        <f t="shared" ref="G67:G130" si="4">E67/F67</f>
        <v>0.86845827439886847</v>
      </c>
      <c r="H67" s="45">
        <f t="shared" si="3"/>
        <v>0.43687258595869294</v>
      </c>
      <c r="I67" s="45">
        <f t="shared" ref="I67:I130" si="5">C67/162</f>
        <v>0.45061728395061729</v>
      </c>
      <c r="J67" s="45">
        <f t="shared" ref="J67:J130" si="6">ABS(H67-I67)</f>
        <v>1.3744697991924348E-2</v>
      </c>
    </row>
    <row r="68" spans="1:10" x14ac:dyDescent="0.35">
      <c r="A68" s="1">
        <v>2014</v>
      </c>
      <c r="B68" t="s">
        <v>5</v>
      </c>
      <c r="C68">
        <v>73</v>
      </c>
      <c r="D68">
        <v>89</v>
      </c>
      <c r="E68">
        <v>660</v>
      </c>
      <c r="F68">
        <v>758</v>
      </c>
      <c r="G68" s="45">
        <f t="shared" si="4"/>
        <v>0.87071240105540892</v>
      </c>
      <c r="H68" s="45">
        <f t="shared" ref="H68:H92" si="7">(G68^$H$1)/((G68^$H$1)+1)</f>
        <v>0.43802081220449995</v>
      </c>
      <c r="I68" s="45">
        <f t="shared" si="5"/>
        <v>0.45061728395061729</v>
      </c>
      <c r="J68" s="45">
        <f t="shared" si="6"/>
        <v>1.2596471746117333E-2</v>
      </c>
    </row>
    <row r="69" spans="1:10" x14ac:dyDescent="0.35">
      <c r="A69" s="1">
        <v>2014</v>
      </c>
      <c r="B69" t="s">
        <v>6</v>
      </c>
      <c r="C69">
        <v>76</v>
      </c>
      <c r="D69">
        <v>86</v>
      </c>
      <c r="E69">
        <v>595</v>
      </c>
      <c r="F69">
        <v>612</v>
      </c>
      <c r="G69" s="45">
        <f t="shared" si="4"/>
        <v>0.97222222222222221</v>
      </c>
      <c r="H69" s="45">
        <f t="shared" si="7"/>
        <v>0.48732582096451754</v>
      </c>
      <c r="I69" s="45">
        <f t="shared" si="5"/>
        <v>0.46913580246913578</v>
      </c>
      <c r="J69" s="45">
        <f t="shared" si="6"/>
        <v>1.8190018495381766E-2</v>
      </c>
    </row>
    <row r="70" spans="1:10" x14ac:dyDescent="0.35">
      <c r="A70" s="1">
        <v>2014</v>
      </c>
      <c r="B70" t="s">
        <v>7</v>
      </c>
      <c r="C70">
        <v>85</v>
      </c>
      <c r="D70">
        <v>77</v>
      </c>
      <c r="E70">
        <v>669</v>
      </c>
      <c r="F70">
        <v>653</v>
      </c>
      <c r="G70" s="45">
        <f t="shared" si="4"/>
        <v>1.0245022970903521</v>
      </c>
      <c r="H70" s="45">
        <f t="shared" si="7"/>
        <v>0.5108913957732355</v>
      </c>
      <c r="I70" s="45">
        <f t="shared" si="5"/>
        <v>0.52469135802469136</v>
      </c>
      <c r="J70" s="45">
        <f t="shared" si="6"/>
        <v>1.3799962251455855E-2</v>
      </c>
    </row>
    <row r="71" spans="1:10" x14ac:dyDescent="0.35">
      <c r="A71" s="1">
        <v>2014</v>
      </c>
      <c r="B71" t="s">
        <v>8</v>
      </c>
      <c r="C71">
        <v>66</v>
      </c>
      <c r="D71">
        <v>96</v>
      </c>
      <c r="E71">
        <v>755</v>
      </c>
      <c r="F71">
        <v>818</v>
      </c>
      <c r="G71" s="45">
        <f t="shared" si="4"/>
        <v>0.92298288508557458</v>
      </c>
      <c r="H71" s="45">
        <f t="shared" si="7"/>
        <v>0.46399735170329309</v>
      </c>
      <c r="I71" s="45">
        <f t="shared" si="5"/>
        <v>0.40740740740740738</v>
      </c>
      <c r="J71" s="45">
        <f t="shared" si="6"/>
        <v>5.6589944295885708E-2</v>
      </c>
    </row>
    <row r="72" spans="1:10" x14ac:dyDescent="0.35">
      <c r="A72" s="1">
        <v>2014</v>
      </c>
      <c r="B72" t="s">
        <v>9</v>
      </c>
      <c r="C72">
        <v>90</v>
      </c>
      <c r="D72">
        <v>72</v>
      </c>
      <c r="E72">
        <v>757</v>
      </c>
      <c r="F72">
        <v>705</v>
      </c>
      <c r="G72" s="45">
        <f t="shared" si="4"/>
        <v>1.0737588652482271</v>
      </c>
      <c r="H72" s="45">
        <f t="shared" si="7"/>
        <v>0.53198073361710718</v>
      </c>
      <c r="I72" s="45">
        <f t="shared" si="5"/>
        <v>0.55555555555555558</v>
      </c>
      <c r="J72" s="45">
        <f t="shared" si="6"/>
        <v>2.3574821938448398E-2</v>
      </c>
    </row>
    <row r="73" spans="1:10" x14ac:dyDescent="0.35">
      <c r="A73" s="1">
        <v>2014</v>
      </c>
      <c r="B73" t="s">
        <v>10</v>
      </c>
      <c r="C73">
        <v>70</v>
      </c>
      <c r="D73">
        <v>92</v>
      </c>
      <c r="E73">
        <v>629</v>
      </c>
      <c r="F73">
        <v>723</v>
      </c>
      <c r="G73" s="45">
        <f t="shared" si="4"/>
        <v>0.86998616874135548</v>
      </c>
      <c r="H73" s="45">
        <f t="shared" si="7"/>
        <v>0.43765112961884139</v>
      </c>
      <c r="I73" s="45">
        <f t="shared" si="5"/>
        <v>0.43209876543209874</v>
      </c>
      <c r="J73" s="45">
        <f t="shared" si="6"/>
        <v>5.5523641867426532E-3</v>
      </c>
    </row>
    <row r="74" spans="1:10" x14ac:dyDescent="0.35">
      <c r="A74" s="1">
        <v>2014</v>
      </c>
      <c r="B74" t="s">
        <v>11</v>
      </c>
      <c r="C74">
        <v>89</v>
      </c>
      <c r="D74">
        <v>73</v>
      </c>
      <c r="E74">
        <v>651</v>
      </c>
      <c r="F74">
        <v>624</v>
      </c>
      <c r="G74" s="45">
        <f t="shared" si="4"/>
        <v>1.0432692307692308</v>
      </c>
      <c r="H74" s="45">
        <f t="shared" si="7"/>
        <v>0.51905244391423233</v>
      </c>
      <c r="I74" s="45">
        <f t="shared" si="5"/>
        <v>0.54938271604938271</v>
      </c>
      <c r="J74" s="45">
        <f t="shared" si="6"/>
        <v>3.0330272135150382E-2</v>
      </c>
    </row>
    <row r="75" spans="1:10" x14ac:dyDescent="0.35">
      <c r="A75" s="1">
        <v>2014</v>
      </c>
      <c r="B75" t="s">
        <v>12</v>
      </c>
      <c r="C75">
        <v>98</v>
      </c>
      <c r="D75">
        <v>64</v>
      </c>
      <c r="E75">
        <v>773</v>
      </c>
      <c r="F75">
        <v>630</v>
      </c>
      <c r="G75" s="45">
        <f t="shared" si="4"/>
        <v>1.2269841269841271</v>
      </c>
      <c r="H75" s="45">
        <f t="shared" si="7"/>
        <v>0.59102556182830368</v>
      </c>
      <c r="I75" s="45">
        <f t="shared" si="5"/>
        <v>0.60493827160493829</v>
      </c>
      <c r="J75" s="45">
        <f t="shared" si="6"/>
        <v>1.3912709776634613E-2</v>
      </c>
    </row>
    <row r="76" spans="1:10" x14ac:dyDescent="0.35">
      <c r="A76" s="1">
        <v>2014</v>
      </c>
      <c r="B76" t="s">
        <v>13</v>
      </c>
      <c r="C76">
        <v>94</v>
      </c>
      <c r="D76">
        <v>68</v>
      </c>
      <c r="E76">
        <v>718</v>
      </c>
      <c r="F76">
        <v>617</v>
      </c>
      <c r="G76" s="45">
        <f t="shared" si="4"/>
        <v>1.1636952998379255</v>
      </c>
      <c r="H76" s="45">
        <f t="shared" si="7"/>
        <v>0.5678000444893887</v>
      </c>
      <c r="I76" s="45">
        <f t="shared" si="5"/>
        <v>0.58024691358024694</v>
      </c>
      <c r="J76" s="45">
        <f t="shared" si="6"/>
        <v>1.2446869090858237E-2</v>
      </c>
    </row>
    <row r="77" spans="1:10" x14ac:dyDescent="0.35">
      <c r="A77" s="1">
        <v>2014</v>
      </c>
      <c r="B77" t="s">
        <v>14</v>
      </c>
      <c r="C77">
        <v>77</v>
      </c>
      <c r="D77">
        <v>85</v>
      </c>
      <c r="E77">
        <v>645</v>
      </c>
      <c r="F77">
        <v>674</v>
      </c>
      <c r="G77" s="45">
        <f t="shared" si="4"/>
        <v>0.95697329376854601</v>
      </c>
      <c r="H77" s="45">
        <f t="shared" si="7"/>
        <v>0.48021942177828603</v>
      </c>
      <c r="I77" s="45">
        <f t="shared" si="5"/>
        <v>0.47530864197530864</v>
      </c>
      <c r="J77" s="45">
        <f t="shared" si="6"/>
        <v>4.910779802977383E-3</v>
      </c>
    </row>
    <row r="78" spans="1:10" x14ac:dyDescent="0.35">
      <c r="A78" s="1">
        <v>2014</v>
      </c>
      <c r="B78" t="s">
        <v>15</v>
      </c>
      <c r="C78">
        <v>82</v>
      </c>
      <c r="D78">
        <v>80</v>
      </c>
      <c r="E78">
        <v>650</v>
      </c>
      <c r="F78">
        <v>657</v>
      </c>
      <c r="G78" s="45">
        <f t="shared" si="4"/>
        <v>0.98934550989345504</v>
      </c>
      <c r="H78" s="45">
        <f t="shared" si="7"/>
        <v>0.49517990430639253</v>
      </c>
      <c r="I78" s="45">
        <f t="shared" si="5"/>
        <v>0.50617283950617287</v>
      </c>
      <c r="J78" s="45">
        <f t="shared" si="6"/>
        <v>1.099293519978034E-2</v>
      </c>
    </row>
    <row r="79" spans="1:10" x14ac:dyDescent="0.35">
      <c r="A79" s="1">
        <v>2014</v>
      </c>
      <c r="B79" t="s">
        <v>16</v>
      </c>
      <c r="C79">
        <v>70</v>
      </c>
      <c r="D79">
        <v>92</v>
      </c>
      <c r="E79">
        <v>715</v>
      </c>
      <c r="F79">
        <v>777</v>
      </c>
      <c r="G79" s="45">
        <f t="shared" si="4"/>
        <v>0.92020592020592018</v>
      </c>
      <c r="H79" s="45">
        <f t="shared" si="7"/>
        <v>0.46264869949281717</v>
      </c>
      <c r="I79" s="45">
        <f t="shared" si="5"/>
        <v>0.43209876543209874</v>
      </c>
      <c r="J79" s="45">
        <f t="shared" si="6"/>
        <v>3.0549934060718431E-2</v>
      </c>
    </row>
    <row r="80" spans="1:10" x14ac:dyDescent="0.35">
      <c r="A80" s="1">
        <v>2014</v>
      </c>
      <c r="B80" t="s">
        <v>17</v>
      </c>
      <c r="C80">
        <v>79</v>
      </c>
      <c r="D80">
        <v>83</v>
      </c>
      <c r="E80">
        <v>629</v>
      </c>
      <c r="F80">
        <v>618</v>
      </c>
      <c r="G80" s="45">
        <f t="shared" si="4"/>
        <v>1.0177993527508091</v>
      </c>
      <c r="H80" s="45">
        <f t="shared" si="7"/>
        <v>0.50793859249162077</v>
      </c>
      <c r="I80" s="45">
        <f t="shared" si="5"/>
        <v>0.48765432098765432</v>
      </c>
      <c r="J80" s="45">
        <f t="shared" si="6"/>
        <v>2.0284271503966445E-2</v>
      </c>
    </row>
    <row r="81" spans="1:10" x14ac:dyDescent="0.35">
      <c r="A81" s="1">
        <v>2014</v>
      </c>
      <c r="B81" t="s">
        <v>18</v>
      </c>
      <c r="C81">
        <v>84</v>
      </c>
      <c r="D81">
        <v>78</v>
      </c>
      <c r="E81">
        <v>633</v>
      </c>
      <c r="F81">
        <v>664</v>
      </c>
      <c r="G81" s="45">
        <f t="shared" si="4"/>
        <v>0.95331325301204817</v>
      </c>
      <c r="H81" s="45">
        <f t="shared" si="7"/>
        <v>0.47849799230688772</v>
      </c>
      <c r="I81" s="45">
        <f t="shared" si="5"/>
        <v>0.51851851851851849</v>
      </c>
      <c r="J81" s="45">
        <f t="shared" si="6"/>
        <v>4.0020526211630769E-2</v>
      </c>
    </row>
    <row r="82" spans="1:10" x14ac:dyDescent="0.35">
      <c r="A82" s="1">
        <v>2014</v>
      </c>
      <c r="B82" t="s">
        <v>19</v>
      </c>
      <c r="C82">
        <v>88</v>
      </c>
      <c r="D82">
        <v>74</v>
      </c>
      <c r="E82">
        <v>729</v>
      </c>
      <c r="F82">
        <v>572</v>
      </c>
      <c r="G82" s="45">
        <f t="shared" si="4"/>
        <v>1.2744755244755244</v>
      </c>
      <c r="H82" s="45">
        <f t="shared" si="7"/>
        <v>0.60743964708616227</v>
      </c>
      <c r="I82" s="45">
        <f t="shared" si="5"/>
        <v>0.54320987654320985</v>
      </c>
      <c r="J82" s="45">
        <f t="shared" si="6"/>
        <v>6.4229770542952425E-2</v>
      </c>
    </row>
    <row r="83" spans="1:10" x14ac:dyDescent="0.35">
      <c r="A83" s="1">
        <v>2014</v>
      </c>
      <c r="B83" t="s">
        <v>20</v>
      </c>
      <c r="C83">
        <v>73</v>
      </c>
      <c r="D83">
        <v>89</v>
      </c>
      <c r="E83">
        <v>619</v>
      </c>
      <c r="F83">
        <v>687</v>
      </c>
      <c r="G83" s="45">
        <f t="shared" si="4"/>
        <v>0.90101892285298402</v>
      </c>
      <c r="H83" s="45">
        <f t="shared" si="7"/>
        <v>0.45323403454198363</v>
      </c>
      <c r="I83" s="45">
        <f t="shared" si="5"/>
        <v>0.45061728395061729</v>
      </c>
      <c r="J83" s="45">
        <f t="shared" si="6"/>
        <v>2.6167505913663458E-3</v>
      </c>
    </row>
    <row r="84" spans="1:10" x14ac:dyDescent="0.35">
      <c r="A84" s="1">
        <v>2014</v>
      </c>
      <c r="B84" t="s">
        <v>21</v>
      </c>
      <c r="C84">
        <v>88</v>
      </c>
      <c r="D84">
        <v>74</v>
      </c>
      <c r="E84">
        <v>682</v>
      </c>
      <c r="F84">
        <v>631</v>
      </c>
      <c r="G84" s="45">
        <f t="shared" si="4"/>
        <v>1.0808240887480189</v>
      </c>
      <c r="H84" s="45">
        <f t="shared" si="7"/>
        <v>0.53491877160576751</v>
      </c>
      <c r="I84" s="45">
        <f t="shared" si="5"/>
        <v>0.54320987654320985</v>
      </c>
      <c r="J84" s="45">
        <f t="shared" si="6"/>
        <v>8.2911049374423396E-3</v>
      </c>
    </row>
    <row r="85" spans="1:10" x14ac:dyDescent="0.35">
      <c r="A85" s="1">
        <v>2014</v>
      </c>
      <c r="B85" t="s">
        <v>22</v>
      </c>
      <c r="C85">
        <v>77</v>
      </c>
      <c r="D85">
        <v>85</v>
      </c>
      <c r="E85">
        <v>535</v>
      </c>
      <c r="F85">
        <v>577</v>
      </c>
      <c r="G85" s="45">
        <f t="shared" si="4"/>
        <v>0.92720970537261693</v>
      </c>
      <c r="H85" s="45">
        <f t="shared" si="7"/>
        <v>0.46604336618445746</v>
      </c>
      <c r="I85" s="45">
        <f t="shared" si="5"/>
        <v>0.47530864197530864</v>
      </c>
      <c r="J85" s="45">
        <f t="shared" si="6"/>
        <v>9.2652757908511796E-3</v>
      </c>
    </row>
    <row r="86" spans="1:10" x14ac:dyDescent="0.35">
      <c r="A86" s="1">
        <v>2014</v>
      </c>
      <c r="B86" t="s">
        <v>23</v>
      </c>
      <c r="C86">
        <v>87</v>
      </c>
      <c r="D86">
        <v>75</v>
      </c>
      <c r="E86">
        <v>634</v>
      </c>
      <c r="F86">
        <v>554</v>
      </c>
      <c r="G86" s="45">
        <f t="shared" si="4"/>
        <v>1.144404332129964</v>
      </c>
      <c r="H86" s="45">
        <f t="shared" si="7"/>
        <v>0.5604015002596151</v>
      </c>
      <c r="I86" s="45">
        <f t="shared" si="5"/>
        <v>0.53703703703703709</v>
      </c>
      <c r="J86" s="45">
        <f t="shared" si="6"/>
        <v>2.3364463222578014E-2</v>
      </c>
    </row>
    <row r="87" spans="1:10" x14ac:dyDescent="0.35">
      <c r="A87" s="1">
        <v>2014</v>
      </c>
      <c r="B87" t="s">
        <v>24</v>
      </c>
      <c r="C87">
        <v>88</v>
      </c>
      <c r="D87">
        <v>74</v>
      </c>
      <c r="E87">
        <v>665</v>
      </c>
      <c r="F87">
        <v>614</v>
      </c>
      <c r="G87" s="45">
        <f t="shared" si="4"/>
        <v>1.0830618892508144</v>
      </c>
      <c r="H87" s="45">
        <f t="shared" si="7"/>
        <v>0.53584485339168519</v>
      </c>
      <c r="I87" s="45">
        <f t="shared" si="5"/>
        <v>0.54320987654320985</v>
      </c>
      <c r="J87" s="45">
        <f t="shared" si="6"/>
        <v>7.3650231515246523E-3</v>
      </c>
    </row>
    <row r="88" spans="1:10" x14ac:dyDescent="0.35">
      <c r="A88" s="1">
        <v>2014</v>
      </c>
      <c r="B88" t="s">
        <v>25</v>
      </c>
      <c r="C88">
        <v>90</v>
      </c>
      <c r="D88">
        <v>72</v>
      </c>
      <c r="E88">
        <v>619</v>
      </c>
      <c r="F88">
        <v>603</v>
      </c>
      <c r="G88" s="45">
        <f t="shared" si="4"/>
        <v>1.0265339966832505</v>
      </c>
      <c r="H88" s="45">
        <f t="shared" si="7"/>
        <v>0.51178245250328525</v>
      </c>
      <c r="I88" s="45">
        <f t="shared" si="5"/>
        <v>0.55555555555555558</v>
      </c>
      <c r="J88" s="45">
        <f t="shared" si="6"/>
        <v>4.3773103052270335E-2</v>
      </c>
    </row>
    <row r="89" spans="1:10" x14ac:dyDescent="0.35">
      <c r="A89" s="1">
        <v>2014</v>
      </c>
      <c r="B89" t="s">
        <v>26</v>
      </c>
      <c r="C89">
        <v>77</v>
      </c>
      <c r="D89">
        <v>85</v>
      </c>
      <c r="E89">
        <v>612</v>
      </c>
      <c r="F89">
        <v>625</v>
      </c>
      <c r="G89" s="45">
        <f t="shared" si="4"/>
        <v>0.97919999999999996</v>
      </c>
      <c r="H89" s="45">
        <f t="shared" si="7"/>
        <v>0.49054241291521872</v>
      </c>
      <c r="I89" s="45">
        <f t="shared" si="5"/>
        <v>0.47530864197530864</v>
      </c>
      <c r="J89" s="45">
        <f t="shared" si="6"/>
        <v>1.5233770939910074E-2</v>
      </c>
    </row>
    <row r="90" spans="1:10" x14ac:dyDescent="0.35">
      <c r="A90" s="1">
        <v>2014</v>
      </c>
      <c r="B90" t="s">
        <v>27</v>
      </c>
      <c r="C90">
        <v>67</v>
      </c>
      <c r="D90">
        <v>95</v>
      </c>
      <c r="E90">
        <v>637</v>
      </c>
      <c r="F90">
        <v>773</v>
      </c>
      <c r="G90" s="45">
        <f t="shared" si="4"/>
        <v>0.82406209573091849</v>
      </c>
      <c r="H90" s="45">
        <f t="shared" si="7"/>
        <v>0.41379062606105527</v>
      </c>
      <c r="I90" s="45">
        <f t="shared" si="5"/>
        <v>0.41358024691358025</v>
      </c>
      <c r="J90" s="45">
        <f t="shared" si="6"/>
        <v>2.1037914747501496E-4</v>
      </c>
    </row>
    <row r="91" spans="1:10" x14ac:dyDescent="0.35">
      <c r="A91" s="1">
        <v>2014</v>
      </c>
      <c r="B91" t="s">
        <v>28</v>
      </c>
      <c r="C91">
        <v>83</v>
      </c>
      <c r="D91">
        <v>79</v>
      </c>
      <c r="E91">
        <v>723</v>
      </c>
      <c r="F91">
        <v>686</v>
      </c>
      <c r="G91" s="45">
        <f t="shared" si="4"/>
        <v>1.0539358600583091</v>
      </c>
      <c r="H91" s="45">
        <f t="shared" si="7"/>
        <v>0.52362162003827806</v>
      </c>
      <c r="I91" s="45">
        <f t="shared" si="5"/>
        <v>0.51234567901234573</v>
      </c>
      <c r="J91" s="45">
        <f t="shared" si="6"/>
        <v>1.1275941025932323E-2</v>
      </c>
    </row>
    <row r="92" spans="1:10" x14ac:dyDescent="0.35">
      <c r="A92" s="1">
        <v>2014</v>
      </c>
      <c r="B92" t="s">
        <v>29</v>
      </c>
      <c r="C92">
        <v>96</v>
      </c>
      <c r="D92">
        <v>66</v>
      </c>
      <c r="E92">
        <v>686</v>
      </c>
      <c r="F92">
        <v>555</v>
      </c>
      <c r="G92" s="45">
        <f t="shared" si="4"/>
        <v>1.2360360360360361</v>
      </c>
      <c r="H92" s="45">
        <f t="shared" si="7"/>
        <v>0.59421967323425706</v>
      </c>
      <c r="I92" s="45">
        <f t="shared" si="5"/>
        <v>0.59259259259259256</v>
      </c>
      <c r="J92" s="45">
        <f t="shared" si="6"/>
        <v>1.6270806416645023E-3</v>
      </c>
    </row>
    <row r="93" spans="1:10" x14ac:dyDescent="0.35">
      <c r="A93" s="1">
        <v>2013</v>
      </c>
      <c r="B93" t="s">
        <v>0</v>
      </c>
      <c r="C93">
        <v>81</v>
      </c>
      <c r="D93">
        <v>81</v>
      </c>
      <c r="E93">
        <v>685</v>
      </c>
      <c r="F93">
        <v>695</v>
      </c>
      <c r="G93" s="45">
        <f t="shared" si="4"/>
        <v>0.98561151079136688</v>
      </c>
      <c r="H93" s="45">
        <f t="shared" ref="H93:H156" si="8">(G93^2)/((G93^2)+1)</f>
        <v>0.49275400367550537</v>
      </c>
      <c r="I93" s="45">
        <f t="shared" si="5"/>
        <v>0.5</v>
      </c>
      <c r="J93" s="45">
        <f t="shared" si="6"/>
        <v>7.2459963244946302E-3</v>
      </c>
    </row>
    <row r="94" spans="1:10" x14ac:dyDescent="0.35">
      <c r="A94" s="1">
        <v>2013</v>
      </c>
      <c r="B94" t="s">
        <v>1</v>
      </c>
      <c r="C94">
        <v>96</v>
      </c>
      <c r="D94">
        <v>66</v>
      </c>
      <c r="E94">
        <v>688</v>
      </c>
      <c r="F94">
        <v>548</v>
      </c>
      <c r="G94" s="45">
        <f t="shared" si="4"/>
        <v>1.2554744525547445</v>
      </c>
      <c r="H94" s="45">
        <f t="shared" si="8"/>
        <v>0.61183380555498101</v>
      </c>
      <c r="I94" s="45">
        <f t="shared" si="5"/>
        <v>0.59259259259259256</v>
      </c>
      <c r="J94" s="45">
        <f t="shared" si="6"/>
        <v>1.9241212962388454E-2</v>
      </c>
    </row>
    <row r="95" spans="1:10" x14ac:dyDescent="0.35">
      <c r="A95" s="1">
        <v>2013</v>
      </c>
      <c r="B95" t="s">
        <v>2</v>
      </c>
      <c r="C95">
        <v>85</v>
      </c>
      <c r="D95">
        <v>77</v>
      </c>
      <c r="E95">
        <v>745</v>
      </c>
      <c r="F95">
        <v>709</v>
      </c>
      <c r="G95" s="45">
        <f t="shared" si="4"/>
        <v>1.0507757404795486</v>
      </c>
      <c r="H95" s="45">
        <f t="shared" si="8"/>
        <v>0.52474411603980686</v>
      </c>
      <c r="I95" s="45">
        <f t="shared" si="5"/>
        <v>0.52469135802469136</v>
      </c>
      <c r="J95" s="45">
        <f t="shared" si="6"/>
        <v>5.2758015115506041E-5</v>
      </c>
    </row>
    <row r="96" spans="1:10" x14ac:dyDescent="0.35">
      <c r="A96" s="1">
        <v>2013</v>
      </c>
      <c r="B96" t="s">
        <v>3</v>
      </c>
      <c r="C96">
        <v>97</v>
      </c>
      <c r="D96">
        <v>65</v>
      </c>
      <c r="E96">
        <v>853</v>
      </c>
      <c r="F96">
        <v>656</v>
      </c>
      <c r="G96" s="45">
        <f t="shared" si="4"/>
        <v>1.3003048780487805</v>
      </c>
      <c r="H96" s="45">
        <f t="shared" si="8"/>
        <v>0.62836231427226685</v>
      </c>
      <c r="I96" s="45">
        <f t="shared" si="5"/>
        <v>0.59876543209876543</v>
      </c>
      <c r="J96" s="45">
        <f t="shared" si="6"/>
        <v>2.9596882173501426E-2</v>
      </c>
    </row>
    <row r="97" spans="1:10" x14ac:dyDescent="0.35">
      <c r="A97" s="1">
        <v>2013</v>
      </c>
      <c r="B97" t="s">
        <v>4</v>
      </c>
      <c r="C97">
        <v>66</v>
      </c>
      <c r="D97">
        <v>96</v>
      </c>
      <c r="E97">
        <v>602</v>
      </c>
      <c r="F97">
        <v>689</v>
      </c>
      <c r="G97" s="45">
        <f t="shared" si="4"/>
        <v>0.8737300435413643</v>
      </c>
      <c r="H97" s="45">
        <f t="shared" si="8"/>
        <v>0.43291503658354491</v>
      </c>
      <c r="I97" s="45">
        <f t="shared" si="5"/>
        <v>0.40740740740740738</v>
      </c>
      <c r="J97" s="45">
        <f t="shared" si="6"/>
        <v>2.5507629176137525E-2</v>
      </c>
    </row>
    <row r="98" spans="1:10" x14ac:dyDescent="0.35">
      <c r="A98" s="1">
        <v>2013</v>
      </c>
      <c r="B98" t="s">
        <v>5</v>
      </c>
      <c r="C98">
        <v>63</v>
      </c>
      <c r="D98">
        <v>99</v>
      </c>
      <c r="E98">
        <v>598</v>
      </c>
      <c r="F98">
        <v>723</v>
      </c>
      <c r="G98" s="45">
        <f t="shared" si="4"/>
        <v>0.82710926694329179</v>
      </c>
      <c r="H98" s="45">
        <f t="shared" si="8"/>
        <v>0.40621446657117249</v>
      </c>
      <c r="I98" s="45">
        <f t="shared" si="5"/>
        <v>0.3888888888888889</v>
      </c>
      <c r="J98" s="45">
        <f t="shared" si="6"/>
        <v>1.7325577682283599E-2</v>
      </c>
    </row>
    <row r="99" spans="1:10" x14ac:dyDescent="0.35">
      <c r="A99" s="1">
        <v>2013</v>
      </c>
      <c r="B99" t="s">
        <v>6</v>
      </c>
      <c r="C99">
        <v>90</v>
      </c>
      <c r="D99">
        <v>72</v>
      </c>
      <c r="E99">
        <v>698</v>
      </c>
      <c r="F99">
        <v>589</v>
      </c>
      <c r="G99" s="45">
        <f t="shared" si="4"/>
        <v>1.1850594227504245</v>
      </c>
      <c r="H99" s="45">
        <f t="shared" si="8"/>
        <v>0.5840899145811479</v>
      </c>
      <c r="I99" s="45">
        <f t="shared" si="5"/>
        <v>0.55555555555555558</v>
      </c>
      <c r="J99" s="45">
        <f t="shared" si="6"/>
        <v>2.8534359025592315E-2</v>
      </c>
    </row>
    <row r="100" spans="1:10" x14ac:dyDescent="0.35">
      <c r="A100" s="1">
        <v>2013</v>
      </c>
      <c r="B100" t="s">
        <v>7</v>
      </c>
      <c r="C100">
        <v>92</v>
      </c>
      <c r="D100">
        <v>70</v>
      </c>
      <c r="E100">
        <v>745</v>
      </c>
      <c r="F100">
        <v>662</v>
      </c>
      <c r="G100" s="45">
        <f t="shared" si="4"/>
        <v>1.1253776435045317</v>
      </c>
      <c r="H100" s="45">
        <f t="shared" si="8"/>
        <v>0.55878618984383888</v>
      </c>
      <c r="I100" s="45">
        <f t="shared" si="5"/>
        <v>0.5679012345679012</v>
      </c>
      <c r="J100" s="45">
        <f t="shared" si="6"/>
        <v>9.1150447240623267E-3</v>
      </c>
    </row>
    <row r="101" spans="1:10" x14ac:dyDescent="0.35">
      <c r="A101" s="1">
        <v>2013</v>
      </c>
      <c r="B101" t="s">
        <v>8</v>
      </c>
      <c r="C101">
        <v>74</v>
      </c>
      <c r="D101">
        <v>88</v>
      </c>
      <c r="E101">
        <v>706</v>
      </c>
      <c r="F101">
        <v>760</v>
      </c>
      <c r="G101" s="45">
        <f t="shared" si="4"/>
        <v>0.92894736842105263</v>
      </c>
      <c r="H101" s="45">
        <f t="shared" si="8"/>
        <v>0.46321498537223665</v>
      </c>
      <c r="I101" s="45">
        <f t="shared" si="5"/>
        <v>0.4567901234567901</v>
      </c>
      <c r="J101" s="45">
        <f t="shared" si="6"/>
        <v>6.4248619154465558E-3</v>
      </c>
    </row>
    <row r="102" spans="1:10" x14ac:dyDescent="0.35">
      <c r="A102" s="1">
        <v>2013</v>
      </c>
      <c r="B102" t="s">
        <v>9</v>
      </c>
      <c r="C102">
        <v>93</v>
      </c>
      <c r="D102">
        <v>69</v>
      </c>
      <c r="E102">
        <v>796</v>
      </c>
      <c r="F102">
        <v>624</v>
      </c>
      <c r="G102" s="45">
        <f t="shared" si="4"/>
        <v>1.2756410256410255</v>
      </c>
      <c r="H102" s="45">
        <f t="shared" si="8"/>
        <v>0.61937532258316774</v>
      </c>
      <c r="I102" s="45">
        <f t="shared" si="5"/>
        <v>0.57407407407407407</v>
      </c>
      <c r="J102" s="45">
        <f t="shared" si="6"/>
        <v>4.5301248509093672E-2</v>
      </c>
    </row>
    <row r="103" spans="1:10" x14ac:dyDescent="0.35">
      <c r="A103" s="1">
        <v>2013</v>
      </c>
      <c r="B103" t="s">
        <v>10</v>
      </c>
      <c r="C103">
        <v>51</v>
      </c>
      <c r="D103">
        <v>111</v>
      </c>
      <c r="E103">
        <v>610</v>
      </c>
      <c r="F103">
        <v>848</v>
      </c>
      <c r="G103" s="45">
        <f t="shared" si="4"/>
        <v>0.71933962264150941</v>
      </c>
      <c r="H103" s="45">
        <f t="shared" si="8"/>
        <v>0.34099948313972456</v>
      </c>
      <c r="I103" s="45">
        <f t="shared" si="5"/>
        <v>0.31481481481481483</v>
      </c>
      <c r="J103" s="45">
        <f t="shared" si="6"/>
        <v>2.6184668324909732E-2</v>
      </c>
    </row>
    <row r="104" spans="1:10" x14ac:dyDescent="0.35">
      <c r="A104" s="1">
        <v>2013</v>
      </c>
      <c r="B104" t="s">
        <v>11</v>
      </c>
      <c r="C104">
        <v>86</v>
      </c>
      <c r="D104">
        <v>76</v>
      </c>
      <c r="E104">
        <v>648</v>
      </c>
      <c r="F104">
        <v>601</v>
      </c>
      <c r="G104" s="45">
        <f t="shared" si="4"/>
        <v>1.0782029950083194</v>
      </c>
      <c r="H104" s="45">
        <f t="shared" si="8"/>
        <v>0.53757689427157684</v>
      </c>
      <c r="I104" s="45">
        <f t="shared" si="5"/>
        <v>0.53086419753086422</v>
      </c>
      <c r="J104" s="45">
        <f t="shared" si="6"/>
        <v>6.7126967407126203E-3</v>
      </c>
    </row>
    <row r="105" spans="1:10" x14ac:dyDescent="0.35">
      <c r="A105" s="1">
        <v>2013</v>
      </c>
      <c r="B105" t="s">
        <v>12</v>
      </c>
      <c r="C105">
        <v>78</v>
      </c>
      <c r="D105">
        <v>84</v>
      </c>
      <c r="E105">
        <v>733</v>
      </c>
      <c r="F105">
        <v>737</v>
      </c>
      <c r="G105" s="45">
        <f t="shared" si="4"/>
        <v>0.99457259158751699</v>
      </c>
      <c r="H105" s="45">
        <f t="shared" si="8"/>
        <v>0.49727893171229243</v>
      </c>
      <c r="I105" s="45">
        <f t="shared" si="5"/>
        <v>0.48148148148148145</v>
      </c>
      <c r="J105" s="45">
        <f t="shared" si="6"/>
        <v>1.5797450230810972E-2</v>
      </c>
    </row>
    <row r="106" spans="1:10" x14ac:dyDescent="0.35">
      <c r="A106" s="1">
        <v>2013</v>
      </c>
      <c r="B106" t="s">
        <v>13</v>
      </c>
      <c r="C106">
        <v>92</v>
      </c>
      <c r="D106">
        <v>70</v>
      </c>
      <c r="E106">
        <v>649</v>
      </c>
      <c r="F106">
        <v>582</v>
      </c>
      <c r="G106" s="45">
        <f t="shared" si="4"/>
        <v>1.1151202749140894</v>
      </c>
      <c r="H106" s="45">
        <f t="shared" si="8"/>
        <v>0.55426653946113102</v>
      </c>
      <c r="I106" s="45">
        <f t="shared" si="5"/>
        <v>0.5679012345679012</v>
      </c>
      <c r="J106" s="45">
        <f t="shared" si="6"/>
        <v>1.3634695106770178E-2</v>
      </c>
    </row>
    <row r="107" spans="1:10" x14ac:dyDescent="0.35">
      <c r="A107" s="1">
        <v>2013</v>
      </c>
      <c r="B107" t="s">
        <v>14</v>
      </c>
      <c r="C107">
        <v>62</v>
      </c>
      <c r="D107">
        <v>100</v>
      </c>
      <c r="E107">
        <v>513</v>
      </c>
      <c r="F107">
        <v>646</v>
      </c>
      <c r="G107" s="45">
        <f t="shared" si="4"/>
        <v>0.79411764705882348</v>
      </c>
      <c r="H107" s="45">
        <f t="shared" si="8"/>
        <v>0.38673740053050393</v>
      </c>
      <c r="I107" s="45">
        <f t="shared" si="5"/>
        <v>0.38271604938271603</v>
      </c>
      <c r="J107" s="45">
        <f t="shared" si="6"/>
        <v>4.0213511477878994E-3</v>
      </c>
    </row>
    <row r="108" spans="1:10" x14ac:dyDescent="0.35">
      <c r="A108" s="1">
        <v>2013</v>
      </c>
      <c r="B108" t="s">
        <v>15</v>
      </c>
      <c r="C108">
        <v>74</v>
      </c>
      <c r="D108">
        <v>88</v>
      </c>
      <c r="E108">
        <v>640</v>
      </c>
      <c r="F108">
        <v>687</v>
      </c>
      <c r="G108" s="45">
        <f t="shared" si="4"/>
        <v>0.93158660844250363</v>
      </c>
      <c r="H108" s="45">
        <f t="shared" si="8"/>
        <v>0.464626138169559</v>
      </c>
      <c r="I108" s="45">
        <f t="shared" si="5"/>
        <v>0.4567901234567901</v>
      </c>
      <c r="J108" s="45">
        <f t="shared" si="6"/>
        <v>7.8360147127689017E-3</v>
      </c>
    </row>
    <row r="109" spans="1:10" x14ac:dyDescent="0.35">
      <c r="A109" s="1">
        <v>2013</v>
      </c>
      <c r="B109" t="s">
        <v>16</v>
      </c>
      <c r="C109">
        <v>66</v>
      </c>
      <c r="D109">
        <v>96</v>
      </c>
      <c r="E109">
        <v>614</v>
      </c>
      <c r="F109">
        <v>788</v>
      </c>
      <c r="G109" s="45">
        <f t="shared" si="4"/>
        <v>0.7791878172588832</v>
      </c>
      <c r="H109" s="45">
        <f t="shared" si="8"/>
        <v>0.37777421488265828</v>
      </c>
      <c r="I109" s="45">
        <f t="shared" si="5"/>
        <v>0.40740740740740738</v>
      </c>
      <c r="J109" s="45">
        <f t="shared" si="6"/>
        <v>2.9633192524749108E-2</v>
      </c>
    </row>
    <row r="110" spans="1:10" x14ac:dyDescent="0.35">
      <c r="A110" s="1">
        <v>2013</v>
      </c>
      <c r="B110" t="s">
        <v>17</v>
      </c>
      <c r="C110">
        <v>74</v>
      </c>
      <c r="D110">
        <v>88</v>
      </c>
      <c r="E110">
        <v>619</v>
      </c>
      <c r="F110">
        <v>684</v>
      </c>
      <c r="G110" s="45">
        <f t="shared" si="4"/>
        <v>0.90497076023391809</v>
      </c>
      <c r="H110" s="45">
        <f t="shared" si="8"/>
        <v>0.45023894939819065</v>
      </c>
      <c r="I110" s="45">
        <f t="shared" si="5"/>
        <v>0.4567901234567901</v>
      </c>
      <c r="J110" s="45">
        <f t="shared" si="6"/>
        <v>6.5511740585994516E-3</v>
      </c>
    </row>
    <row r="111" spans="1:10" x14ac:dyDescent="0.35">
      <c r="A111" s="1">
        <v>2013</v>
      </c>
      <c r="B111" t="s">
        <v>18</v>
      </c>
      <c r="C111">
        <v>85</v>
      </c>
      <c r="D111">
        <v>77</v>
      </c>
      <c r="E111">
        <v>650</v>
      </c>
      <c r="F111">
        <v>671</v>
      </c>
      <c r="G111" s="45">
        <f t="shared" si="4"/>
        <v>0.96870342771982121</v>
      </c>
      <c r="H111" s="45">
        <f t="shared" si="8"/>
        <v>0.48410696873413767</v>
      </c>
      <c r="I111" s="45">
        <f t="shared" si="5"/>
        <v>0.52469135802469136</v>
      </c>
      <c r="J111" s="45">
        <f t="shared" si="6"/>
        <v>4.0584389290553691E-2</v>
      </c>
    </row>
    <row r="112" spans="1:10" x14ac:dyDescent="0.35">
      <c r="A112" s="1">
        <v>2013</v>
      </c>
      <c r="B112" t="s">
        <v>19</v>
      </c>
      <c r="C112">
        <v>96</v>
      </c>
      <c r="D112">
        <v>66</v>
      </c>
      <c r="E112">
        <v>767</v>
      </c>
      <c r="F112">
        <v>625</v>
      </c>
      <c r="G112" s="45">
        <f t="shared" si="4"/>
        <v>1.2272000000000001</v>
      </c>
      <c r="H112" s="45">
        <f t="shared" si="8"/>
        <v>0.60096086070890797</v>
      </c>
      <c r="I112" s="45">
        <f t="shared" si="5"/>
        <v>0.59259259259259256</v>
      </c>
      <c r="J112" s="45">
        <f t="shared" si="6"/>
        <v>8.3682681163154138E-3</v>
      </c>
    </row>
    <row r="113" spans="1:10" x14ac:dyDescent="0.35">
      <c r="A113" s="1">
        <v>2013</v>
      </c>
      <c r="B113" t="s">
        <v>20</v>
      </c>
      <c r="C113">
        <v>73</v>
      </c>
      <c r="D113">
        <v>89</v>
      </c>
      <c r="E113">
        <v>610</v>
      </c>
      <c r="F113">
        <v>749</v>
      </c>
      <c r="G113" s="45">
        <f t="shared" si="4"/>
        <v>0.8144192256341789</v>
      </c>
      <c r="H113" s="45">
        <f t="shared" si="8"/>
        <v>0.39877783862625804</v>
      </c>
      <c r="I113" s="45">
        <f t="shared" si="5"/>
        <v>0.45061728395061729</v>
      </c>
      <c r="J113" s="45">
        <f t="shared" si="6"/>
        <v>5.1839445324359246E-2</v>
      </c>
    </row>
    <row r="114" spans="1:10" x14ac:dyDescent="0.35">
      <c r="A114" s="1">
        <v>2013</v>
      </c>
      <c r="B114" t="s">
        <v>21</v>
      </c>
      <c r="C114">
        <v>94</v>
      </c>
      <c r="D114">
        <v>68</v>
      </c>
      <c r="E114">
        <v>634</v>
      </c>
      <c r="F114">
        <v>577</v>
      </c>
      <c r="G114" s="45">
        <f t="shared" si="4"/>
        <v>1.098786828422877</v>
      </c>
      <c r="H114" s="45">
        <f t="shared" si="8"/>
        <v>0.5469644910428163</v>
      </c>
      <c r="I114" s="45">
        <f t="shared" si="5"/>
        <v>0.58024691358024694</v>
      </c>
      <c r="J114" s="45">
        <f t="shared" si="6"/>
        <v>3.3282422537430634E-2</v>
      </c>
    </row>
    <row r="115" spans="1:10" x14ac:dyDescent="0.35">
      <c r="A115" s="1">
        <v>2013</v>
      </c>
      <c r="B115" t="s">
        <v>22</v>
      </c>
      <c r="C115">
        <v>76</v>
      </c>
      <c r="D115">
        <v>86</v>
      </c>
      <c r="E115">
        <v>618</v>
      </c>
      <c r="F115">
        <v>700</v>
      </c>
      <c r="G115" s="45">
        <f t="shared" si="4"/>
        <v>0.8828571428571429</v>
      </c>
      <c r="H115" s="45">
        <f t="shared" si="8"/>
        <v>0.43802441497194711</v>
      </c>
      <c r="I115" s="45">
        <f t="shared" si="5"/>
        <v>0.46913580246913578</v>
      </c>
      <c r="J115" s="45">
        <f t="shared" si="6"/>
        <v>3.1111387497188669E-2</v>
      </c>
    </row>
    <row r="116" spans="1:10" x14ac:dyDescent="0.35">
      <c r="A116" s="1">
        <v>2013</v>
      </c>
      <c r="B116" t="s">
        <v>23</v>
      </c>
      <c r="C116">
        <v>71</v>
      </c>
      <c r="D116">
        <v>91</v>
      </c>
      <c r="E116">
        <v>624</v>
      </c>
      <c r="F116">
        <v>754</v>
      </c>
      <c r="G116" s="45">
        <f t="shared" si="4"/>
        <v>0.82758620689655171</v>
      </c>
      <c r="H116" s="45">
        <f t="shared" si="8"/>
        <v>0.40649258997882853</v>
      </c>
      <c r="I116" s="45">
        <f t="shared" si="5"/>
        <v>0.43827160493827161</v>
      </c>
      <c r="J116" s="45">
        <f t="shared" si="6"/>
        <v>3.1779014959443075E-2</v>
      </c>
    </row>
    <row r="117" spans="1:10" x14ac:dyDescent="0.35">
      <c r="A117" s="1">
        <v>2013</v>
      </c>
      <c r="B117" t="s">
        <v>24</v>
      </c>
      <c r="C117">
        <v>76</v>
      </c>
      <c r="D117">
        <v>86</v>
      </c>
      <c r="E117">
        <v>629</v>
      </c>
      <c r="F117">
        <v>691</v>
      </c>
      <c r="G117" s="45">
        <f t="shared" si="4"/>
        <v>0.91027496382054995</v>
      </c>
      <c r="H117" s="45">
        <f t="shared" si="8"/>
        <v>0.45313369723818664</v>
      </c>
      <c r="I117" s="45">
        <f t="shared" si="5"/>
        <v>0.46913580246913578</v>
      </c>
      <c r="J117" s="45">
        <f t="shared" si="6"/>
        <v>1.6002105230949137E-2</v>
      </c>
    </row>
    <row r="118" spans="1:10" x14ac:dyDescent="0.35">
      <c r="A118" s="1">
        <v>2013</v>
      </c>
      <c r="B118" t="s">
        <v>25</v>
      </c>
      <c r="C118">
        <v>97</v>
      </c>
      <c r="D118">
        <v>65</v>
      </c>
      <c r="E118">
        <v>783</v>
      </c>
      <c r="F118">
        <v>596</v>
      </c>
      <c r="G118" s="45">
        <f t="shared" si="4"/>
        <v>1.313758389261745</v>
      </c>
      <c r="H118" s="45">
        <f t="shared" si="8"/>
        <v>0.6331569082055758</v>
      </c>
      <c r="I118" s="45">
        <f t="shared" si="5"/>
        <v>0.59876543209876543</v>
      </c>
      <c r="J118" s="45">
        <f t="shared" si="6"/>
        <v>3.439147610681037E-2</v>
      </c>
    </row>
    <row r="119" spans="1:10" x14ac:dyDescent="0.35">
      <c r="A119" s="1">
        <v>2013</v>
      </c>
      <c r="B119" t="s">
        <v>26</v>
      </c>
      <c r="C119">
        <v>92</v>
      </c>
      <c r="D119">
        <v>71</v>
      </c>
      <c r="E119">
        <v>700</v>
      </c>
      <c r="F119">
        <v>646</v>
      </c>
      <c r="G119" s="45">
        <f t="shared" si="4"/>
        <v>1.0835913312693499</v>
      </c>
      <c r="H119" s="45">
        <f t="shared" si="8"/>
        <v>0.54005440221488432</v>
      </c>
      <c r="I119" s="45">
        <f t="shared" si="5"/>
        <v>0.5679012345679012</v>
      </c>
      <c r="J119" s="45">
        <f t="shared" si="6"/>
        <v>2.7846832353016882E-2</v>
      </c>
    </row>
    <row r="120" spans="1:10" x14ac:dyDescent="0.35">
      <c r="A120" s="1">
        <v>2013</v>
      </c>
      <c r="B120" t="s">
        <v>27</v>
      </c>
      <c r="C120">
        <v>91</v>
      </c>
      <c r="D120">
        <v>72</v>
      </c>
      <c r="E120">
        <v>730</v>
      </c>
      <c r="F120">
        <v>636</v>
      </c>
      <c r="G120" s="45">
        <f t="shared" si="4"/>
        <v>1.1477987421383649</v>
      </c>
      <c r="H120" s="45">
        <f t="shared" si="8"/>
        <v>0.56848973112750634</v>
      </c>
      <c r="I120" s="45">
        <f t="shared" si="5"/>
        <v>0.56172839506172845</v>
      </c>
      <c r="J120" s="45">
        <f t="shared" si="6"/>
        <v>6.7613360657778898E-3</v>
      </c>
    </row>
    <row r="121" spans="1:10" x14ac:dyDescent="0.35">
      <c r="A121" s="1">
        <v>2013</v>
      </c>
      <c r="B121" t="s">
        <v>28</v>
      </c>
      <c r="C121">
        <v>74</v>
      </c>
      <c r="D121">
        <v>88</v>
      </c>
      <c r="E121">
        <v>712</v>
      </c>
      <c r="F121">
        <v>756</v>
      </c>
      <c r="G121" s="45">
        <f t="shared" si="4"/>
        <v>0.94179894179894175</v>
      </c>
      <c r="H121" s="45">
        <f t="shared" si="8"/>
        <v>0.47005415028558706</v>
      </c>
      <c r="I121" s="45">
        <f t="shared" si="5"/>
        <v>0.4567901234567901</v>
      </c>
      <c r="J121" s="45">
        <f t="shared" si="6"/>
        <v>1.326402682879696E-2</v>
      </c>
    </row>
    <row r="122" spans="1:10" x14ac:dyDescent="0.35">
      <c r="A122" s="1">
        <v>2013</v>
      </c>
      <c r="B122" t="s">
        <v>29</v>
      </c>
      <c r="C122">
        <v>86</v>
      </c>
      <c r="D122">
        <v>76</v>
      </c>
      <c r="E122">
        <v>656</v>
      </c>
      <c r="F122">
        <v>626</v>
      </c>
      <c r="G122" s="45">
        <f t="shared" si="4"/>
        <v>1.0479233226837061</v>
      </c>
      <c r="H122" s="45">
        <f t="shared" si="8"/>
        <v>0.5233881286091665</v>
      </c>
      <c r="I122" s="45">
        <f t="shared" si="5"/>
        <v>0.53086419753086422</v>
      </c>
      <c r="J122" s="45">
        <f t="shared" si="6"/>
        <v>7.4760689216977205E-3</v>
      </c>
    </row>
    <row r="123" spans="1:10" x14ac:dyDescent="0.35">
      <c r="A123" s="1">
        <v>2012</v>
      </c>
      <c r="B123" t="s">
        <v>0</v>
      </c>
      <c r="C123">
        <v>81</v>
      </c>
      <c r="D123">
        <v>81</v>
      </c>
      <c r="E123">
        <v>734</v>
      </c>
      <c r="F123">
        <v>688</v>
      </c>
      <c r="G123" s="45">
        <f t="shared" si="4"/>
        <v>1.066860465116279</v>
      </c>
      <c r="H123" s="45">
        <f t="shared" si="8"/>
        <v>0.53231498863748639</v>
      </c>
      <c r="I123" s="45">
        <f t="shared" si="5"/>
        <v>0.5</v>
      </c>
      <c r="J123" s="45">
        <f t="shared" si="6"/>
        <v>3.2314988637486386E-2</v>
      </c>
    </row>
    <row r="124" spans="1:10" x14ac:dyDescent="0.35">
      <c r="A124" s="1">
        <v>2012</v>
      </c>
      <c r="B124" t="s">
        <v>1</v>
      </c>
      <c r="C124">
        <v>94</v>
      </c>
      <c r="D124">
        <v>68</v>
      </c>
      <c r="E124">
        <v>700</v>
      </c>
      <c r="F124">
        <v>600</v>
      </c>
      <c r="G124" s="45">
        <f t="shared" si="4"/>
        <v>1.1666666666666667</v>
      </c>
      <c r="H124" s="45">
        <f t="shared" si="8"/>
        <v>0.57647058823529407</v>
      </c>
      <c r="I124" s="45">
        <f t="shared" si="5"/>
        <v>0.58024691358024694</v>
      </c>
      <c r="J124" s="45">
        <f t="shared" si="6"/>
        <v>3.7763253449528689E-3</v>
      </c>
    </row>
    <row r="125" spans="1:10" x14ac:dyDescent="0.35">
      <c r="A125" s="1">
        <v>2012</v>
      </c>
      <c r="B125" t="s">
        <v>2</v>
      </c>
      <c r="C125">
        <v>93</v>
      </c>
      <c r="D125">
        <v>69</v>
      </c>
      <c r="E125">
        <v>712</v>
      </c>
      <c r="F125">
        <v>705</v>
      </c>
      <c r="G125" s="45">
        <f t="shared" si="4"/>
        <v>1.0099290780141843</v>
      </c>
      <c r="H125" s="45">
        <f t="shared" si="8"/>
        <v>0.5049398935624505</v>
      </c>
      <c r="I125" s="45">
        <f t="shared" si="5"/>
        <v>0.57407407407407407</v>
      </c>
      <c r="J125" s="45">
        <f t="shared" si="6"/>
        <v>6.9134180511623566E-2</v>
      </c>
    </row>
    <row r="126" spans="1:10" x14ac:dyDescent="0.35">
      <c r="A126" s="1">
        <v>2012</v>
      </c>
      <c r="B126" t="s">
        <v>3</v>
      </c>
      <c r="C126">
        <v>69</v>
      </c>
      <c r="D126">
        <v>93</v>
      </c>
      <c r="E126">
        <v>734</v>
      </c>
      <c r="F126">
        <v>806</v>
      </c>
      <c r="G126" s="45">
        <f t="shared" si="4"/>
        <v>0.91066997518610426</v>
      </c>
      <c r="H126" s="45">
        <f t="shared" si="8"/>
        <v>0.45334872668277809</v>
      </c>
      <c r="I126" s="45">
        <f t="shared" si="5"/>
        <v>0.42592592592592593</v>
      </c>
      <c r="J126" s="45">
        <f t="shared" si="6"/>
        <v>2.7422800756852161E-2</v>
      </c>
    </row>
    <row r="127" spans="1:10" x14ac:dyDescent="0.35">
      <c r="A127" s="1">
        <v>2012</v>
      </c>
      <c r="B127" t="s">
        <v>4</v>
      </c>
      <c r="C127">
        <v>61</v>
      </c>
      <c r="D127">
        <v>101</v>
      </c>
      <c r="E127">
        <v>613</v>
      </c>
      <c r="F127">
        <v>759</v>
      </c>
      <c r="G127" s="45">
        <f t="shared" si="4"/>
        <v>0.80764163372859021</v>
      </c>
      <c r="H127" s="45">
        <f t="shared" si="8"/>
        <v>0.39477753847770125</v>
      </c>
      <c r="I127" s="45">
        <f t="shared" si="5"/>
        <v>0.37654320987654322</v>
      </c>
      <c r="J127" s="45">
        <f t="shared" si="6"/>
        <v>1.8234328601158034E-2</v>
      </c>
    </row>
    <row r="128" spans="1:10" x14ac:dyDescent="0.35">
      <c r="A128" s="1">
        <v>2012</v>
      </c>
      <c r="B128" t="s">
        <v>5</v>
      </c>
      <c r="C128">
        <v>85</v>
      </c>
      <c r="D128">
        <v>77</v>
      </c>
      <c r="E128">
        <v>748</v>
      </c>
      <c r="F128">
        <v>676</v>
      </c>
      <c r="G128" s="45">
        <f t="shared" si="4"/>
        <v>1.1065088757396451</v>
      </c>
      <c r="H128" s="45">
        <f t="shared" si="8"/>
        <v>0.55043286636234856</v>
      </c>
      <c r="I128" s="45">
        <f t="shared" si="5"/>
        <v>0.52469135802469136</v>
      </c>
      <c r="J128" s="45">
        <f t="shared" si="6"/>
        <v>2.5741508337657204E-2</v>
      </c>
    </row>
    <row r="129" spans="1:10" x14ac:dyDescent="0.35">
      <c r="A129" s="1">
        <v>2012</v>
      </c>
      <c r="B129" t="s">
        <v>6</v>
      </c>
      <c r="C129">
        <v>97</v>
      </c>
      <c r="D129">
        <v>65</v>
      </c>
      <c r="E129">
        <v>669</v>
      </c>
      <c r="F129">
        <v>588</v>
      </c>
      <c r="G129" s="45">
        <f t="shared" si="4"/>
        <v>1.1377551020408163</v>
      </c>
      <c r="H129" s="45">
        <f t="shared" si="8"/>
        <v>0.56417267003233318</v>
      </c>
      <c r="I129" s="45">
        <f t="shared" si="5"/>
        <v>0.59876543209876543</v>
      </c>
      <c r="J129" s="45">
        <f t="shared" si="6"/>
        <v>3.4592762066432248E-2</v>
      </c>
    </row>
    <row r="130" spans="1:10" x14ac:dyDescent="0.35">
      <c r="A130" s="1">
        <v>2012</v>
      </c>
      <c r="B130" t="s">
        <v>7</v>
      </c>
      <c r="C130">
        <v>68</v>
      </c>
      <c r="D130">
        <v>94</v>
      </c>
      <c r="E130">
        <v>667</v>
      </c>
      <c r="F130">
        <v>845</v>
      </c>
      <c r="G130" s="45">
        <f t="shared" si="4"/>
        <v>0.78934911242603545</v>
      </c>
      <c r="H130" s="45">
        <f t="shared" si="8"/>
        <v>0.38388439521828194</v>
      </c>
      <c r="I130" s="45">
        <f t="shared" si="5"/>
        <v>0.41975308641975306</v>
      </c>
      <c r="J130" s="45">
        <f t="shared" si="6"/>
        <v>3.5868691201471126E-2</v>
      </c>
    </row>
    <row r="131" spans="1:10" x14ac:dyDescent="0.35">
      <c r="A131" s="1">
        <v>2012</v>
      </c>
      <c r="B131" t="s">
        <v>8</v>
      </c>
      <c r="C131">
        <v>64</v>
      </c>
      <c r="D131">
        <v>98</v>
      </c>
      <c r="E131">
        <v>758</v>
      </c>
      <c r="F131">
        <v>890</v>
      </c>
      <c r="G131" s="45">
        <f t="shared" ref="G131:G194" si="9">E131/F131</f>
        <v>0.85168539325842696</v>
      </c>
      <c r="H131" s="45">
        <f t="shared" si="8"/>
        <v>0.42041350324586002</v>
      </c>
      <c r="I131" s="45">
        <f t="shared" ref="I131:I194" si="10">C131/162</f>
        <v>0.39506172839506171</v>
      </c>
      <c r="J131" s="45">
        <f t="shared" ref="J131:J194" si="11">ABS(H131-I131)</f>
        <v>2.5351774850798314E-2</v>
      </c>
    </row>
    <row r="132" spans="1:10" x14ac:dyDescent="0.35">
      <c r="A132" s="1">
        <v>2012</v>
      </c>
      <c r="B132" t="s">
        <v>9</v>
      </c>
      <c r="C132">
        <v>88</v>
      </c>
      <c r="D132">
        <v>74</v>
      </c>
      <c r="E132">
        <v>726</v>
      </c>
      <c r="F132">
        <v>670</v>
      </c>
      <c r="G132" s="45">
        <f t="shared" si="9"/>
        <v>1.0835820895522388</v>
      </c>
      <c r="H132" s="45">
        <f t="shared" si="8"/>
        <v>0.54005016516799587</v>
      </c>
      <c r="I132" s="45">
        <f t="shared" si="10"/>
        <v>0.54320987654320985</v>
      </c>
      <c r="J132" s="45">
        <f t="shared" si="11"/>
        <v>3.1597113752139805E-3</v>
      </c>
    </row>
    <row r="133" spans="1:10" x14ac:dyDescent="0.35">
      <c r="A133" s="1">
        <v>2012</v>
      </c>
      <c r="B133" t="s">
        <v>10</v>
      </c>
      <c r="C133">
        <v>55</v>
      </c>
      <c r="D133">
        <v>107</v>
      </c>
      <c r="E133">
        <v>583</v>
      </c>
      <c r="F133">
        <v>794</v>
      </c>
      <c r="G133" s="45">
        <f t="shared" si="9"/>
        <v>0.73425692695214106</v>
      </c>
      <c r="H133" s="45">
        <f t="shared" si="8"/>
        <v>0.35028366784324838</v>
      </c>
      <c r="I133" s="45">
        <f t="shared" si="10"/>
        <v>0.33950617283950618</v>
      </c>
      <c r="J133" s="45">
        <f t="shared" si="11"/>
        <v>1.0777495003742199E-2</v>
      </c>
    </row>
    <row r="134" spans="1:10" x14ac:dyDescent="0.35">
      <c r="A134" s="1">
        <v>2012</v>
      </c>
      <c r="B134" t="s">
        <v>11</v>
      </c>
      <c r="C134">
        <v>72</v>
      </c>
      <c r="D134">
        <v>90</v>
      </c>
      <c r="E134">
        <v>676</v>
      </c>
      <c r="F134">
        <v>746</v>
      </c>
      <c r="G134" s="45">
        <f t="shared" si="9"/>
        <v>0.90616621983914214</v>
      </c>
      <c r="H134" s="45">
        <f t="shared" si="8"/>
        <v>0.45089255761268959</v>
      </c>
      <c r="I134" s="45">
        <f t="shared" si="10"/>
        <v>0.44444444444444442</v>
      </c>
      <c r="J134" s="45">
        <f t="shared" si="11"/>
        <v>6.4481131682451731E-3</v>
      </c>
    </row>
    <row r="135" spans="1:10" x14ac:dyDescent="0.35">
      <c r="A135" s="1">
        <v>2012</v>
      </c>
      <c r="B135" t="s">
        <v>12</v>
      </c>
      <c r="C135">
        <v>89</v>
      </c>
      <c r="D135">
        <v>73</v>
      </c>
      <c r="E135">
        <v>767</v>
      </c>
      <c r="F135">
        <v>699</v>
      </c>
      <c r="G135" s="45">
        <f t="shared" si="9"/>
        <v>1.0972818311874106</v>
      </c>
      <c r="H135" s="45">
        <f t="shared" si="8"/>
        <v>0.54628513590060268</v>
      </c>
      <c r="I135" s="45">
        <f t="shared" si="10"/>
        <v>0.54938271604938271</v>
      </c>
      <c r="J135" s="45">
        <f t="shared" si="11"/>
        <v>3.0975801487800325E-3</v>
      </c>
    </row>
    <row r="136" spans="1:10" x14ac:dyDescent="0.35">
      <c r="A136" s="1">
        <v>2012</v>
      </c>
      <c r="B136" t="s">
        <v>13</v>
      </c>
      <c r="C136">
        <v>86</v>
      </c>
      <c r="D136">
        <v>76</v>
      </c>
      <c r="E136">
        <v>637</v>
      </c>
      <c r="F136">
        <v>597</v>
      </c>
      <c r="G136" s="45">
        <f t="shared" si="9"/>
        <v>1.067001675041876</v>
      </c>
      <c r="H136" s="45">
        <f t="shared" si="8"/>
        <v>0.5323808874042546</v>
      </c>
      <c r="I136" s="45">
        <f t="shared" si="10"/>
        <v>0.53086419753086422</v>
      </c>
      <c r="J136" s="45">
        <f t="shared" si="11"/>
        <v>1.5166898733903755E-3</v>
      </c>
    </row>
    <row r="137" spans="1:10" x14ac:dyDescent="0.35">
      <c r="A137" s="1">
        <v>2012</v>
      </c>
      <c r="B137" t="s">
        <v>14</v>
      </c>
      <c r="C137">
        <v>69</v>
      </c>
      <c r="D137">
        <v>93</v>
      </c>
      <c r="E137">
        <v>609</v>
      </c>
      <c r="F137">
        <v>724</v>
      </c>
      <c r="G137" s="45">
        <f t="shared" si="9"/>
        <v>0.84116022099447518</v>
      </c>
      <c r="H137" s="45">
        <f t="shared" si="8"/>
        <v>0.41436578899444398</v>
      </c>
      <c r="I137" s="45">
        <f t="shared" si="10"/>
        <v>0.42592592592592593</v>
      </c>
      <c r="J137" s="45">
        <f t="shared" si="11"/>
        <v>1.1560136931481946E-2</v>
      </c>
    </row>
    <row r="138" spans="1:10" x14ac:dyDescent="0.35">
      <c r="A138" s="1">
        <v>2012</v>
      </c>
      <c r="B138" t="s">
        <v>15</v>
      </c>
      <c r="C138">
        <v>83</v>
      </c>
      <c r="D138">
        <v>79</v>
      </c>
      <c r="E138">
        <v>776</v>
      </c>
      <c r="F138">
        <v>733</v>
      </c>
      <c r="G138" s="45">
        <f t="shared" si="9"/>
        <v>1.0586630286493861</v>
      </c>
      <c r="H138" s="45">
        <f t="shared" si="8"/>
        <v>0.5284725726547107</v>
      </c>
      <c r="I138" s="45">
        <f t="shared" si="10"/>
        <v>0.51234567901234573</v>
      </c>
      <c r="J138" s="45">
        <f t="shared" si="11"/>
        <v>1.612689364236497E-2</v>
      </c>
    </row>
    <row r="139" spans="1:10" x14ac:dyDescent="0.35">
      <c r="A139" s="1">
        <v>2012</v>
      </c>
      <c r="B139" t="s">
        <v>16</v>
      </c>
      <c r="C139">
        <v>66</v>
      </c>
      <c r="D139">
        <v>96</v>
      </c>
      <c r="E139">
        <v>701</v>
      </c>
      <c r="F139">
        <v>832</v>
      </c>
      <c r="G139" s="45">
        <f t="shared" si="9"/>
        <v>0.84254807692307687</v>
      </c>
      <c r="H139" s="45">
        <f t="shared" si="8"/>
        <v>0.41516612102650752</v>
      </c>
      <c r="I139" s="45">
        <f t="shared" si="10"/>
        <v>0.40740740740740738</v>
      </c>
      <c r="J139" s="45">
        <f t="shared" si="11"/>
        <v>7.7587136191001327E-3</v>
      </c>
    </row>
    <row r="140" spans="1:10" x14ac:dyDescent="0.35">
      <c r="A140" s="1">
        <v>2012</v>
      </c>
      <c r="B140" t="s">
        <v>17</v>
      </c>
      <c r="C140">
        <v>74</v>
      </c>
      <c r="D140">
        <v>88</v>
      </c>
      <c r="E140">
        <v>650</v>
      </c>
      <c r="F140">
        <v>709</v>
      </c>
      <c r="G140" s="45">
        <f t="shared" si="9"/>
        <v>0.91678420310296194</v>
      </c>
      <c r="H140" s="45">
        <f t="shared" si="8"/>
        <v>0.45666739805508327</v>
      </c>
      <c r="I140" s="45">
        <f t="shared" si="10"/>
        <v>0.4567901234567901</v>
      </c>
      <c r="J140" s="45">
        <f t="shared" si="11"/>
        <v>1.2272540170682467E-4</v>
      </c>
    </row>
    <row r="141" spans="1:10" x14ac:dyDescent="0.35">
      <c r="A141" s="1">
        <v>2012</v>
      </c>
      <c r="B141" t="s">
        <v>18</v>
      </c>
      <c r="C141">
        <v>95</v>
      </c>
      <c r="D141">
        <v>67</v>
      </c>
      <c r="E141">
        <v>804</v>
      </c>
      <c r="F141">
        <v>668</v>
      </c>
      <c r="G141" s="45">
        <f t="shared" si="9"/>
        <v>1.2035928143712575</v>
      </c>
      <c r="H141" s="45">
        <f t="shared" si="8"/>
        <v>0.59160931322301957</v>
      </c>
      <c r="I141" s="45">
        <f t="shared" si="10"/>
        <v>0.5864197530864198</v>
      </c>
      <c r="J141" s="45">
        <f t="shared" si="11"/>
        <v>5.189560136599769E-3</v>
      </c>
    </row>
    <row r="142" spans="1:10" x14ac:dyDescent="0.35">
      <c r="A142" s="1">
        <v>2012</v>
      </c>
      <c r="B142" t="s">
        <v>19</v>
      </c>
      <c r="C142">
        <v>94</v>
      </c>
      <c r="D142">
        <v>68</v>
      </c>
      <c r="E142">
        <v>713</v>
      </c>
      <c r="F142">
        <v>614</v>
      </c>
      <c r="G142" s="45">
        <f t="shared" si="9"/>
        <v>1.1612377850162867</v>
      </c>
      <c r="H142" s="45">
        <f t="shared" si="8"/>
        <v>0.57419143517080529</v>
      </c>
      <c r="I142" s="45">
        <f t="shared" si="10"/>
        <v>0.58024691358024694</v>
      </c>
      <c r="J142" s="45">
        <f t="shared" si="11"/>
        <v>6.0554784094416503E-3</v>
      </c>
    </row>
    <row r="143" spans="1:10" x14ac:dyDescent="0.35">
      <c r="A143" s="1">
        <v>2012</v>
      </c>
      <c r="B143" t="s">
        <v>20</v>
      </c>
      <c r="C143">
        <v>81</v>
      </c>
      <c r="D143">
        <v>81</v>
      </c>
      <c r="E143">
        <v>684</v>
      </c>
      <c r="F143">
        <v>680</v>
      </c>
      <c r="G143" s="45">
        <f t="shared" si="9"/>
        <v>1.0058823529411764</v>
      </c>
      <c r="H143" s="45">
        <f t="shared" si="8"/>
        <v>0.50293252610034234</v>
      </c>
      <c r="I143" s="45">
        <f t="shared" si="10"/>
        <v>0.5</v>
      </c>
      <c r="J143" s="45">
        <f t="shared" si="11"/>
        <v>2.9325261003423364E-3</v>
      </c>
    </row>
    <row r="144" spans="1:10" x14ac:dyDescent="0.35">
      <c r="A144" s="1">
        <v>2012</v>
      </c>
      <c r="B144" t="s">
        <v>21</v>
      </c>
      <c r="C144">
        <v>79</v>
      </c>
      <c r="D144">
        <v>83</v>
      </c>
      <c r="E144">
        <v>651</v>
      </c>
      <c r="F144">
        <v>674</v>
      </c>
      <c r="G144" s="45">
        <f t="shared" si="9"/>
        <v>0.96587537091988129</v>
      </c>
      <c r="H144" s="45">
        <f t="shared" si="8"/>
        <v>0.48264673827010618</v>
      </c>
      <c r="I144" s="45">
        <f t="shared" si="10"/>
        <v>0.48765432098765432</v>
      </c>
      <c r="J144" s="45">
        <f t="shared" si="11"/>
        <v>5.0075827175481424E-3</v>
      </c>
    </row>
    <row r="145" spans="1:10" x14ac:dyDescent="0.35">
      <c r="A145" s="1">
        <v>2012</v>
      </c>
      <c r="B145" t="s">
        <v>22</v>
      </c>
      <c r="C145">
        <v>76</v>
      </c>
      <c r="D145">
        <v>86</v>
      </c>
      <c r="E145">
        <v>651</v>
      </c>
      <c r="F145">
        <v>710</v>
      </c>
      <c r="G145" s="45">
        <f t="shared" si="9"/>
        <v>0.91690140845070423</v>
      </c>
      <c r="H145" s="45">
        <f t="shared" si="8"/>
        <v>0.45673083658709279</v>
      </c>
      <c r="I145" s="45">
        <f t="shared" si="10"/>
        <v>0.46913580246913578</v>
      </c>
      <c r="J145" s="45">
        <f t="shared" si="11"/>
        <v>1.2404965882042984E-2</v>
      </c>
    </row>
    <row r="146" spans="1:10" x14ac:dyDescent="0.35">
      <c r="A146" s="1">
        <v>2012</v>
      </c>
      <c r="B146" t="s">
        <v>23</v>
      </c>
      <c r="C146">
        <v>75</v>
      </c>
      <c r="D146">
        <v>87</v>
      </c>
      <c r="E146">
        <v>619</v>
      </c>
      <c r="F146">
        <v>651</v>
      </c>
      <c r="G146" s="45">
        <f t="shared" si="9"/>
        <v>0.95084485407066055</v>
      </c>
      <c r="H146" s="45">
        <f t="shared" si="8"/>
        <v>0.47481913646491414</v>
      </c>
      <c r="I146" s="45">
        <f t="shared" si="10"/>
        <v>0.46296296296296297</v>
      </c>
      <c r="J146" s="45">
        <f t="shared" si="11"/>
        <v>1.1856173501951173E-2</v>
      </c>
    </row>
    <row r="147" spans="1:10" x14ac:dyDescent="0.35">
      <c r="A147" s="1">
        <v>2012</v>
      </c>
      <c r="B147" t="s">
        <v>24</v>
      </c>
      <c r="C147">
        <v>94</v>
      </c>
      <c r="D147">
        <v>68</v>
      </c>
      <c r="E147">
        <v>718</v>
      </c>
      <c r="F147">
        <v>649</v>
      </c>
      <c r="G147" s="45">
        <f t="shared" si="9"/>
        <v>1.1063174114021572</v>
      </c>
      <c r="H147" s="45">
        <f t="shared" si="8"/>
        <v>0.55034722036883832</v>
      </c>
      <c r="I147" s="45">
        <f t="shared" si="10"/>
        <v>0.58024691358024694</v>
      </c>
      <c r="J147" s="45">
        <f t="shared" si="11"/>
        <v>2.9899693211408618E-2</v>
      </c>
    </row>
    <row r="148" spans="1:10" x14ac:dyDescent="0.35">
      <c r="A148" s="1">
        <v>2012</v>
      </c>
      <c r="B148" t="s">
        <v>25</v>
      </c>
      <c r="C148">
        <v>88</v>
      </c>
      <c r="D148">
        <v>74</v>
      </c>
      <c r="E148">
        <v>765</v>
      </c>
      <c r="F148">
        <v>648</v>
      </c>
      <c r="G148" s="45">
        <f t="shared" si="9"/>
        <v>1.1805555555555556</v>
      </c>
      <c r="H148" s="45">
        <f t="shared" si="8"/>
        <v>0.58223869771939729</v>
      </c>
      <c r="I148" s="45">
        <f t="shared" si="10"/>
        <v>0.54320987654320985</v>
      </c>
      <c r="J148" s="45">
        <f t="shared" si="11"/>
        <v>3.9028821176187445E-2</v>
      </c>
    </row>
    <row r="149" spans="1:10" x14ac:dyDescent="0.35">
      <c r="A149" s="1">
        <v>2012</v>
      </c>
      <c r="B149" t="s">
        <v>26</v>
      </c>
      <c r="C149">
        <v>90</v>
      </c>
      <c r="D149">
        <v>72</v>
      </c>
      <c r="E149">
        <v>697</v>
      </c>
      <c r="F149">
        <v>577</v>
      </c>
      <c r="G149" s="45">
        <f t="shared" si="9"/>
        <v>1.2079722703639515</v>
      </c>
      <c r="H149" s="45">
        <f t="shared" si="8"/>
        <v>0.59336320043774682</v>
      </c>
      <c r="I149" s="45">
        <f t="shared" si="10"/>
        <v>0.55555555555555558</v>
      </c>
      <c r="J149" s="45">
        <f t="shared" si="11"/>
        <v>3.7807644882191238E-2</v>
      </c>
    </row>
    <row r="150" spans="1:10" x14ac:dyDescent="0.35">
      <c r="A150" s="1">
        <v>2012</v>
      </c>
      <c r="B150" t="s">
        <v>27</v>
      </c>
      <c r="C150">
        <v>93</v>
      </c>
      <c r="D150">
        <v>69</v>
      </c>
      <c r="E150">
        <v>808</v>
      </c>
      <c r="F150">
        <v>707</v>
      </c>
      <c r="G150" s="45">
        <f t="shared" si="9"/>
        <v>1.1428571428571428</v>
      </c>
      <c r="H150" s="45">
        <f t="shared" si="8"/>
        <v>0.5663716814159292</v>
      </c>
      <c r="I150" s="45">
        <f t="shared" si="10"/>
        <v>0.57407407407407407</v>
      </c>
      <c r="J150" s="45">
        <f t="shared" si="11"/>
        <v>7.7023926581448743E-3</v>
      </c>
    </row>
    <row r="151" spans="1:10" x14ac:dyDescent="0.35">
      <c r="A151" s="1">
        <v>2012</v>
      </c>
      <c r="B151" t="s">
        <v>28</v>
      </c>
      <c r="C151">
        <v>73</v>
      </c>
      <c r="D151">
        <v>89</v>
      </c>
      <c r="E151">
        <v>716</v>
      </c>
      <c r="F151">
        <v>784</v>
      </c>
      <c r="G151" s="45">
        <f t="shared" si="9"/>
        <v>0.91326530612244894</v>
      </c>
      <c r="H151" s="45">
        <f t="shared" si="8"/>
        <v>0.4547596406318748</v>
      </c>
      <c r="I151" s="45">
        <f t="shared" si="10"/>
        <v>0.45061728395061729</v>
      </c>
      <c r="J151" s="45">
        <f t="shared" si="11"/>
        <v>4.1423566812575086E-3</v>
      </c>
    </row>
    <row r="152" spans="1:10" x14ac:dyDescent="0.35">
      <c r="A152" s="1">
        <v>2012</v>
      </c>
      <c r="B152" t="s">
        <v>29</v>
      </c>
      <c r="C152">
        <v>98</v>
      </c>
      <c r="D152">
        <v>64</v>
      </c>
      <c r="E152">
        <v>731</v>
      </c>
      <c r="F152">
        <v>594</v>
      </c>
      <c r="G152" s="45">
        <f t="shared" si="9"/>
        <v>1.2306397306397305</v>
      </c>
      <c r="H152" s="45">
        <f t="shared" si="8"/>
        <v>0.60230253258295496</v>
      </c>
      <c r="I152" s="45">
        <f t="shared" si="10"/>
        <v>0.60493827160493829</v>
      </c>
      <c r="J152" s="45">
        <f t="shared" si="11"/>
        <v>2.6357390219833299E-3</v>
      </c>
    </row>
    <row r="153" spans="1:10" x14ac:dyDescent="0.35">
      <c r="A153" s="1">
        <v>2011</v>
      </c>
      <c r="B153" t="s">
        <v>0</v>
      </c>
      <c r="C153">
        <v>94</v>
      </c>
      <c r="D153">
        <v>68</v>
      </c>
      <c r="E153">
        <v>731</v>
      </c>
      <c r="F153">
        <v>662</v>
      </c>
      <c r="G153" s="45">
        <f t="shared" si="9"/>
        <v>1.1042296072507554</v>
      </c>
      <c r="H153" s="45">
        <f t="shared" si="8"/>
        <v>0.54941214573233732</v>
      </c>
      <c r="I153" s="45">
        <f t="shared" si="10"/>
        <v>0.58024691358024694</v>
      </c>
      <c r="J153" s="45">
        <f t="shared" si="11"/>
        <v>3.0834767847909617E-2</v>
      </c>
    </row>
    <row r="154" spans="1:10" x14ac:dyDescent="0.35">
      <c r="A154" s="1">
        <v>2011</v>
      </c>
      <c r="B154" t="s">
        <v>1</v>
      </c>
      <c r="C154">
        <v>89</v>
      </c>
      <c r="D154">
        <v>73</v>
      </c>
      <c r="E154">
        <v>641</v>
      </c>
      <c r="F154">
        <v>605</v>
      </c>
      <c r="G154" s="45">
        <f t="shared" si="9"/>
        <v>1.0595041322314049</v>
      </c>
      <c r="H154" s="45">
        <f t="shared" si="8"/>
        <v>0.52886835730448734</v>
      </c>
      <c r="I154" s="45">
        <f t="shared" si="10"/>
        <v>0.54938271604938271</v>
      </c>
      <c r="J154" s="45">
        <f t="shared" si="11"/>
        <v>2.0514358744895378E-2</v>
      </c>
    </row>
    <row r="155" spans="1:10" x14ac:dyDescent="0.35">
      <c r="A155" s="1">
        <v>2011</v>
      </c>
      <c r="B155" t="s">
        <v>2</v>
      </c>
      <c r="C155">
        <v>69</v>
      </c>
      <c r="D155">
        <v>93</v>
      </c>
      <c r="E155">
        <v>708</v>
      </c>
      <c r="F155">
        <v>860</v>
      </c>
      <c r="G155" s="45">
        <f t="shared" si="9"/>
        <v>0.82325581395348835</v>
      </c>
      <c r="H155" s="45">
        <f t="shared" si="8"/>
        <v>0.40396368981612807</v>
      </c>
      <c r="I155" s="45">
        <f t="shared" si="10"/>
        <v>0.42592592592592593</v>
      </c>
      <c r="J155" s="45">
        <f t="shared" si="11"/>
        <v>2.1962236109797861E-2</v>
      </c>
    </row>
    <row r="156" spans="1:10" x14ac:dyDescent="0.35">
      <c r="A156" s="1">
        <v>2011</v>
      </c>
      <c r="B156" t="s">
        <v>3</v>
      </c>
      <c r="C156">
        <v>90</v>
      </c>
      <c r="D156">
        <v>72</v>
      </c>
      <c r="E156">
        <v>875</v>
      </c>
      <c r="F156">
        <v>737</v>
      </c>
      <c r="G156" s="45">
        <f t="shared" si="9"/>
        <v>1.1872455902306649</v>
      </c>
      <c r="H156" s="45">
        <f t="shared" si="8"/>
        <v>0.58498510842806428</v>
      </c>
      <c r="I156" s="45">
        <f t="shared" si="10"/>
        <v>0.55555555555555558</v>
      </c>
      <c r="J156" s="45">
        <f t="shared" si="11"/>
        <v>2.9429552872508702E-2</v>
      </c>
    </row>
    <row r="157" spans="1:10" x14ac:dyDescent="0.35">
      <c r="A157" s="1">
        <v>2011</v>
      </c>
      <c r="B157" t="s">
        <v>4</v>
      </c>
      <c r="C157">
        <v>71</v>
      </c>
      <c r="D157">
        <v>91</v>
      </c>
      <c r="E157">
        <v>654</v>
      </c>
      <c r="F157">
        <v>756</v>
      </c>
      <c r="G157" s="45">
        <f t="shared" si="9"/>
        <v>0.86507936507936511</v>
      </c>
      <c r="H157" s="45">
        <f t="shared" ref="H157:H220" si="12">(G157^2)/((G157^2)+1)</f>
        <v>0.42803617105594988</v>
      </c>
      <c r="I157" s="45">
        <f t="shared" si="10"/>
        <v>0.43827160493827161</v>
      </c>
      <c r="J157" s="45">
        <f t="shared" si="11"/>
        <v>1.0235433882321732E-2</v>
      </c>
    </row>
    <row r="158" spans="1:10" x14ac:dyDescent="0.35">
      <c r="A158" s="1">
        <v>2011</v>
      </c>
      <c r="B158" t="s">
        <v>5</v>
      </c>
      <c r="C158">
        <v>79</v>
      </c>
      <c r="D158">
        <v>83</v>
      </c>
      <c r="E158">
        <v>654</v>
      </c>
      <c r="F158">
        <v>706</v>
      </c>
      <c r="G158" s="45">
        <f t="shared" si="9"/>
        <v>0.92634560906515584</v>
      </c>
      <c r="H158" s="45">
        <f t="shared" si="12"/>
        <v>0.46182052190137257</v>
      </c>
      <c r="I158" s="45">
        <f t="shared" si="10"/>
        <v>0.48765432098765432</v>
      </c>
      <c r="J158" s="45">
        <f t="shared" si="11"/>
        <v>2.583379908628175E-2</v>
      </c>
    </row>
    <row r="159" spans="1:10" x14ac:dyDescent="0.35">
      <c r="A159" s="1">
        <v>2011</v>
      </c>
      <c r="B159" t="s">
        <v>6</v>
      </c>
      <c r="C159">
        <v>79</v>
      </c>
      <c r="D159">
        <v>83</v>
      </c>
      <c r="E159">
        <v>735</v>
      </c>
      <c r="F159">
        <v>720</v>
      </c>
      <c r="G159" s="45">
        <f t="shared" si="9"/>
        <v>1.0208333333333333</v>
      </c>
      <c r="H159" s="45">
        <f t="shared" si="12"/>
        <v>0.51030818278427204</v>
      </c>
      <c r="I159" s="45">
        <f t="shared" si="10"/>
        <v>0.48765432098765432</v>
      </c>
      <c r="J159" s="45">
        <f t="shared" si="11"/>
        <v>2.2653861796617714E-2</v>
      </c>
    </row>
    <row r="160" spans="1:10" x14ac:dyDescent="0.35">
      <c r="A160" s="1">
        <v>2011</v>
      </c>
      <c r="B160" t="s">
        <v>7</v>
      </c>
      <c r="C160">
        <v>80</v>
      </c>
      <c r="D160">
        <v>82</v>
      </c>
      <c r="E160">
        <v>704</v>
      </c>
      <c r="F160">
        <v>760</v>
      </c>
      <c r="G160" s="45">
        <f t="shared" si="9"/>
        <v>0.9263157894736842</v>
      </c>
      <c r="H160" s="45">
        <f t="shared" si="12"/>
        <v>0.46180452024569141</v>
      </c>
      <c r="I160" s="45">
        <f t="shared" si="10"/>
        <v>0.49382716049382713</v>
      </c>
      <c r="J160" s="45">
        <f t="shared" si="11"/>
        <v>3.2022640248135725E-2</v>
      </c>
    </row>
    <row r="161" spans="1:10" x14ac:dyDescent="0.35">
      <c r="A161" s="1">
        <v>2011</v>
      </c>
      <c r="B161" t="s">
        <v>8</v>
      </c>
      <c r="C161">
        <v>73</v>
      </c>
      <c r="D161">
        <v>89</v>
      </c>
      <c r="E161">
        <v>735</v>
      </c>
      <c r="F161">
        <v>774</v>
      </c>
      <c r="G161" s="45">
        <f t="shared" si="9"/>
        <v>0.94961240310077522</v>
      </c>
      <c r="H161" s="45">
        <f t="shared" si="12"/>
        <v>0.47417232144973104</v>
      </c>
      <c r="I161" s="45">
        <f t="shared" si="10"/>
        <v>0.45061728395061729</v>
      </c>
      <c r="J161" s="45">
        <f t="shared" si="11"/>
        <v>2.3555037499113751E-2</v>
      </c>
    </row>
    <row r="162" spans="1:10" x14ac:dyDescent="0.35">
      <c r="A162" s="1">
        <v>2011</v>
      </c>
      <c r="B162" t="s">
        <v>9</v>
      </c>
      <c r="C162">
        <v>95</v>
      </c>
      <c r="D162">
        <v>67</v>
      </c>
      <c r="E162">
        <v>787</v>
      </c>
      <c r="F162">
        <v>711</v>
      </c>
      <c r="G162" s="45">
        <f t="shared" si="9"/>
        <v>1.1068917018284108</v>
      </c>
      <c r="H162" s="45">
        <f t="shared" si="12"/>
        <v>0.55060405906355292</v>
      </c>
      <c r="I162" s="45">
        <f t="shared" si="10"/>
        <v>0.5864197530864198</v>
      </c>
      <c r="J162" s="45">
        <f t="shared" si="11"/>
        <v>3.5815694022866884E-2</v>
      </c>
    </row>
    <row r="163" spans="1:10" x14ac:dyDescent="0.35">
      <c r="A163" s="1">
        <v>2011</v>
      </c>
      <c r="B163" t="s">
        <v>43</v>
      </c>
      <c r="C163">
        <v>72</v>
      </c>
      <c r="D163">
        <v>90</v>
      </c>
      <c r="E163">
        <v>625</v>
      </c>
      <c r="F163">
        <v>702</v>
      </c>
      <c r="G163" s="45">
        <f t="shared" si="9"/>
        <v>0.8903133903133903</v>
      </c>
      <c r="H163" s="45">
        <f t="shared" si="12"/>
        <v>0.44216909338498056</v>
      </c>
      <c r="I163" s="45">
        <f t="shared" si="10"/>
        <v>0.44444444444444442</v>
      </c>
      <c r="J163" s="45">
        <f t="shared" si="11"/>
        <v>2.2753510594638593E-3</v>
      </c>
    </row>
    <row r="164" spans="1:10" x14ac:dyDescent="0.35">
      <c r="A164" s="1">
        <v>2011</v>
      </c>
      <c r="B164" t="s">
        <v>10</v>
      </c>
      <c r="C164">
        <v>56</v>
      </c>
      <c r="D164">
        <v>106</v>
      </c>
      <c r="E164">
        <v>615</v>
      </c>
      <c r="F164">
        <v>796</v>
      </c>
      <c r="G164" s="45">
        <f t="shared" si="9"/>
        <v>0.77261306532663321</v>
      </c>
      <c r="H164" s="45">
        <f t="shared" si="12"/>
        <v>0.37379884784269468</v>
      </c>
      <c r="I164" s="45">
        <f t="shared" si="10"/>
        <v>0.34567901234567899</v>
      </c>
      <c r="J164" s="45">
        <f t="shared" si="11"/>
        <v>2.8119835497015688E-2</v>
      </c>
    </row>
    <row r="165" spans="1:10" x14ac:dyDescent="0.35">
      <c r="A165" s="1">
        <v>2011</v>
      </c>
      <c r="B165" t="s">
        <v>11</v>
      </c>
      <c r="C165">
        <v>71</v>
      </c>
      <c r="D165">
        <v>91</v>
      </c>
      <c r="E165">
        <v>730</v>
      </c>
      <c r="F165">
        <v>762</v>
      </c>
      <c r="G165" s="45">
        <f t="shared" si="9"/>
        <v>0.95800524934383202</v>
      </c>
      <c r="H165" s="45">
        <f t="shared" si="12"/>
        <v>0.47856214033751698</v>
      </c>
      <c r="I165" s="45">
        <f t="shared" si="10"/>
        <v>0.43827160493827161</v>
      </c>
      <c r="J165" s="45">
        <f t="shared" si="11"/>
        <v>4.0290535399245375E-2</v>
      </c>
    </row>
    <row r="166" spans="1:10" x14ac:dyDescent="0.35">
      <c r="A166" s="1">
        <v>2011</v>
      </c>
      <c r="B166" t="s">
        <v>12</v>
      </c>
      <c r="C166">
        <v>86</v>
      </c>
      <c r="D166">
        <v>76</v>
      </c>
      <c r="E166">
        <v>667</v>
      </c>
      <c r="F166">
        <v>633</v>
      </c>
      <c r="G166" s="45">
        <f t="shared" si="9"/>
        <v>1.0537124802527646</v>
      </c>
      <c r="H166" s="45">
        <f t="shared" si="12"/>
        <v>0.52613596853276701</v>
      </c>
      <c r="I166" s="45">
        <f t="shared" si="10"/>
        <v>0.53086419753086422</v>
      </c>
      <c r="J166" s="45">
        <f t="shared" si="11"/>
        <v>4.728228998097217E-3</v>
      </c>
    </row>
    <row r="167" spans="1:10" x14ac:dyDescent="0.35">
      <c r="A167" s="1">
        <v>2011</v>
      </c>
      <c r="B167" t="s">
        <v>13</v>
      </c>
      <c r="C167">
        <v>82</v>
      </c>
      <c r="D167">
        <v>79</v>
      </c>
      <c r="E167">
        <v>644</v>
      </c>
      <c r="F167">
        <v>612</v>
      </c>
      <c r="G167" s="45">
        <f t="shared" si="9"/>
        <v>1.0522875816993464</v>
      </c>
      <c r="H167" s="45">
        <f t="shared" si="12"/>
        <v>0.52546117980944662</v>
      </c>
      <c r="I167" s="45">
        <f t="shared" si="10"/>
        <v>0.50617283950617287</v>
      </c>
      <c r="J167" s="45">
        <f t="shared" si="11"/>
        <v>1.9288340303273754E-2</v>
      </c>
    </row>
    <row r="168" spans="1:10" x14ac:dyDescent="0.35">
      <c r="A168" s="1">
        <v>2011</v>
      </c>
      <c r="B168" t="s">
        <v>15</v>
      </c>
      <c r="C168">
        <v>96</v>
      </c>
      <c r="D168">
        <v>66</v>
      </c>
      <c r="E168">
        <v>721</v>
      </c>
      <c r="F168">
        <v>638</v>
      </c>
      <c r="G168" s="45">
        <f t="shared" si="9"/>
        <v>1.1300940438871474</v>
      </c>
      <c r="H168" s="45">
        <f t="shared" si="12"/>
        <v>0.56084735431040533</v>
      </c>
      <c r="I168" s="45">
        <f t="shared" si="10"/>
        <v>0.59259259259259256</v>
      </c>
      <c r="J168" s="45">
        <f t="shared" si="11"/>
        <v>3.1745238282187227E-2</v>
      </c>
    </row>
    <row r="169" spans="1:10" x14ac:dyDescent="0.35">
      <c r="A169" s="1">
        <v>2011</v>
      </c>
      <c r="B169" t="s">
        <v>16</v>
      </c>
      <c r="C169">
        <v>63</v>
      </c>
      <c r="D169">
        <v>99</v>
      </c>
      <c r="E169">
        <v>619</v>
      </c>
      <c r="F169">
        <v>804</v>
      </c>
      <c r="G169" s="45">
        <f t="shared" si="9"/>
        <v>0.76990049751243783</v>
      </c>
      <c r="H169" s="45">
        <f t="shared" si="12"/>
        <v>0.37215380685465971</v>
      </c>
      <c r="I169" s="45">
        <f t="shared" si="10"/>
        <v>0.3888888888888889</v>
      </c>
      <c r="J169" s="45">
        <f t="shared" si="11"/>
        <v>1.6735082034229187E-2</v>
      </c>
    </row>
    <row r="170" spans="1:10" x14ac:dyDescent="0.35">
      <c r="A170" s="1">
        <v>2011</v>
      </c>
      <c r="B170" t="s">
        <v>17</v>
      </c>
      <c r="C170">
        <v>77</v>
      </c>
      <c r="D170">
        <v>85</v>
      </c>
      <c r="E170">
        <v>718</v>
      </c>
      <c r="F170">
        <v>742</v>
      </c>
      <c r="G170" s="45">
        <f t="shared" si="9"/>
        <v>0.96765498652291104</v>
      </c>
      <c r="H170" s="45">
        <f t="shared" si="12"/>
        <v>0.48356608460089595</v>
      </c>
      <c r="I170" s="45">
        <f t="shared" si="10"/>
        <v>0.47530864197530864</v>
      </c>
      <c r="J170" s="45">
        <f t="shared" si="11"/>
        <v>8.2574426255873079E-3</v>
      </c>
    </row>
    <row r="171" spans="1:10" x14ac:dyDescent="0.35">
      <c r="A171" s="1">
        <v>2011</v>
      </c>
      <c r="B171" t="s">
        <v>18</v>
      </c>
      <c r="C171">
        <v>97</v>
      </c>
      <c r="D171">
        <v>65</v>
      </c>
      <c r="E171">
        <v>867</v>
      </c>
      <c r="F171">
        <v>657</v>
      </c>
      <c r="G171" s="45">
        <f t="shared" si="9"/>
        <v>1.3196347031963471</v>
      </c>
      <c r="H171" s="45">
        <f t="shared" si="12"/>
        <v>0.63522763572200003</v>
      </c>
      <c r="I171" s="45">
        <f t="shared" si="10"/>
        <v>0.59876543209876543</v>
      </c>
      <c r="J171" s="45">
        <f t="shared" si="11"/>
        <v>3.6462203623234601E-2</v>
      </c>
    </row>
    <row r="172" spans="1:10" x14ac:dyDescent="0.35">
      <c r="A172" s="1">
        <v>2011</v>
      </c>
      <c r="B172" t="s">
        <v>19</v>
      </c>
      <c r="C172">
        <v>74</v>
      </c>
      <c r="D172">
        <v>88</v>
      </c>
      <c r="E172">
        <v>645</v>
      </c>
      <c r="F172">
        <v>679</v>
      </c>
      <c r="G172" s="45">
        <f t="shared" si="9"/>
        <v>0.94992636229749627</v>
      </c>
      <c r="H172" s="45">
        <f t="shared" si="12"/>
        <v>0.47433716504801232</v>
      </c>
      <c r="I172" s="45">
        <f t="shared" si="10"/>
        <v>0.4567901234567901</v>
      </c>
      <c r="J172" s="45">
        <f t="shared" si="11"/>
        <v>1.7547041591222223E-2</v>
      </c>
    </row>
    <row r="173" spans="1:10" x14ac:dyDescent="0.35">
      <c r="A173" s="1">
        <v>2011</v>
      </c>
      <c r="B173" t="s">
        <v>20</v>
      </c>
      <c r="C173">
        <v>102</v>
      </c>
      <c r="D173">
        <v>60</v>
      </c>
      <c r="E173">
        <v>713</v>
      </c>
      <c r="F173">
        <v>529</v>
      </c>
      <c r="G173" s="45">
        <f t="shared" si="9"/>
        <v>1.3478260869565217</v>
      </c>
      <c r="H173" s="45">
        <f t="shared" si="12"/>
        <v>0.64496644295302019</v>
      </c>
      <c r="I173" s="45">
        <f t="shared" si="10"/>
        <v>0.62962962962962965</v>
      </c>
      <c r="J173" s="45">
        <f t="shared" si="11"/>
        <v>1.5336813323390541E-2</v>
      </c>
    </row>
    <row r="174" spans="1:10" x14ac:dyDescent="0.35">
      <c r="A174" s="1">
        <v>2011</v>
      </c>
      <c r="B174" t="s">
        <v>21</v>
      </c>
      <c r="C174">
        <v>72</v>
      </c>
      <c r="D174">
        <v>90</v>
      </c>
      <c r="E174">
        <v>610</v>
      </c>
      <c r="F174">
        <v>712</v>
      </c>
      <c r="G174" s="45">
        <f t="shared" si="9"/>
        <v>0.8567415730337079</v>
      </c>
      <c r="H174" s="45">
        <f t="shared" si="12"/>
        <v>0.4233007676521312</v>
      </c>
      <c r="I174" s="45">
        <f t="shared" si="10"/>
        <v>0.44444444444444442</v>
      </c>
      <c r="J174" s="45">
        <f t="shared" si="11"/>
        <v>2.1143676792313215E-2</v>
      </c>
    </row>
    <row r="175" spans="1:10" x14ac:dyDescent="0.35">
      <c r="A175" s="1">
        <v>2011</v>
      </c>
      <c r="B175" t="s">
        <v>22</v>
      </c>
      <c r="C175">
        <v>71</v>
      </c>
      <c r="D175">
        <v>91</v>
      </c>
      <c r="E175">
        <v>593</v>
      </c>
      <c r="F175">
        <v>611</v>
      </c>
      <c r="G175" s="45">
        <f t="shared" si="9"/>
        <v>0.97054009819967269</v>
      </c>
      <c r="H175" s="45">
        <f t="shared" si="12"/>
        <v>0.48505317461412195</v>
      </c>
      <c r="I175" s="45">
        <f t="shared" si="10"/>
        <v>0.43827160493827161</v>
      </c>
      <c r="J175" s="45">
        <f t="shared" si="11"/>
        <v>4.6781569675850343E-2</v>
      </c>
    </row>
    <row r="176" spans="1:10" x14ac:dyDescent="0.35">
      <c r="A176" s="1">
        <v>2011</v>
      </c>
      <c r="B176" t="s">
        <v>23</v>
      </c>
      <c r="C176">
        <v>67</v>
      </c>
      <c r="D176">
        <v>95</v>
      </c>
      <c r="E176">
        <v>556</v>
      </c>
      <c r="F176">
        <v>675</v>
      </c>
      <c r="G176" s="45">
        <f t="shared" si="9"/>
        <v>0.82370370370370372</v>
      </c>
      <c r="H176" s="45">
        <f t="shared" si="12"/>
        <v>0.40422563389084959</v>
      </c>
      <c r="I176" s="45">
        <f t="shared" si="10"/>
        <v>0.41358024691358025</v>
      </c>
      <c r="J176" s="45">
        <f t="shared" si="11"/>
        <v>9.3546130227306623E-3</v>
      </c>
    </row>
    <row r="177" spans="1:10" x14ac:dyDescent="0.35">
      <c r="A177" s="1">
        <v>2011</v>
      </c>
      <c r="B177" t="s">
        <v>24</v>
      </c>
      <c r="C177">
        <v>86</v>
      </c>
      <c r="D177">
        <v>76</v>
      </c>
      <c r="E177">
        <v>570</v>
      </c>
      <c r="F177">
        <v>578</v>
      </c>
      <c r="G177" s="45">
        <f t="shared" si="9"/>
        <v>0.98615916955017302</v>
      </c>
      <c r="H177" s="45">
        <f t="shared" si="12"/>
        <v>0.4930316972794484</v>
      </c>
      <c r="I177" s="45">
        <f t="shared" si="10"/>
        <v>0.53086419753086422</v>
      </c>
      <c r="J177" s="45">
        <f t="shared" si="11"/>
        <v>3.7832500251415824E-2</v>
      </c>
    </row>
    <row r="178" spans="1:10" x14ac:dyDescent="0.35">
      <c r="A178" s="1">
        <v>2011</v>
      </c>
      <c r="B178" t="s">
        <v>25</v>
      </c>
      <c r="C178">
        <v>90</v>
      </c>
      <c r="D178">
        <v>72</v>
      </c>
      <c r="E178">
        <v>762</v>
      </c>
      <c r="F178">
        <v>692</v>
      </c>
      <c r="G178" s="45">
        <f t="shared" si="9"/>
        <v>1.1011560693641618</v>
      </c>
      <c r="H178" s="45">
        <f t="shared" si="12"/>
        <v>0.54803172793409771</v>
      </c>
      <c r="I178" s="45">
        <f t="shared" si="10"/>
        <v>0.55555555555555558</v>
      </c>
      <c r="J178" s="45">
        <f t="shared" si="11"/>
        <v>7.5238276214578681E-3</v>
      </c>
    </row>
    <row r="179" spans="1:10" x14ac:dyDescent="0.35">
      <c r="A179" s="1">
        <v>2011</v>
      </c>
      <c r="B179" t="s">
        <v>26</v>
      </c>
      <c r="C179">
        <v>91</v>
      </c>
      <c r="D179">
        <v>71</v>
      </c>
      <c r="E179">
        <v>707</v>
      </c>
      <c r="F179">
        <v>614</v>
      </c>
      <c r="G179" s="45">
        <f t="shared" si="9"/>
        <v>1.1514657980456027</v>
      </c>
      <c r="H179" s="45">
        <f t="shared" si="12"/>
        <v>0.57005400042196741</v>
      </c>
      <c r="I179" s="45">
        <f t="shared" si="10"/>
        <v>0.56172839506172845</v>
      </c>
      <c r="J179" s="45">
        <f t="shared" si="11"/>
        <v>8.3256053602389635E-3</v>
      </c>
    </row>
    <row r="180" spans="1:10" x14ac:dyDescent="0.35">
      <c r="A180" s="1">
        <v>2011</v>
      </c>
      <c r="B180" t="s">
        <v>27</v>
      </c>
      <c r="C180">
        <v>96</v>
      </c>
      <c r="D180">
        <v>66</v>
      </c>
      <c r="E180">
        <v>855</v>
      </c>
      <c r="F180">
        <v>677</v>
      </c>
      <c r="G180" s="45">
        <f t="shared" si="9"/>
        <v>1.2629246676514032</v>
      </c>
      <c r="H180" s="45">
        <f t="shared" si="12"/>
        <v>0.61464038461215087</v>
      </c>
      <c r="I180" s="45">
        <f t="shared" si="10"/>
        <v>0.59259259259259256</v>
      </c>
      <c r="J180" s="45">
        <f t="shared" si="11"/>
        <v>2.204779201955831E-2</v>
      </c>
    </row>
    <row r="181" spans="1:10" x14ac:dyDescent="0.35">
      <c r="A181" s="1">
        <v>2011</v>
      </c>
      <c r="B181" t="s">
        <v>28</v>
      </c>
      <c r="C181">
        <v>81</v>
      </c>
      <c r="D181">
        <v>81</v>
      </c>
      <c r="E181">
        <v>743</v>
      </c>
      <c r="F181">
        <v>761</v>
      </c>
      <c r="G181" s="45">
        <f t="shared" si="9"/>
        <v>0.97634691195795009</v>
      </c>
      <c r="H181" s="45">
        <f t="shared" si="12"/>
        <v>0.48803362889751323</v>
      </c>
      <c r="I181" s="45">
        <f t="shared" si="10"/>
        <v>0.5</v>
      </c>
      <c r="J181" s="45">
        <f t="shared" si="11"/>
        <v>1.1966371102486772E-2</v>
      </c>
    </row>
    <row r="182" spans="1:10" x14ac:dyDescent="0.35">
      <c r="A182" s="1">
        <v>2011</v>
      </c>
      <c r="B182" t="s">
        <v>29</v>
      </c>
      <c r="C182">
        <v>80</v>
      </c>
      <c r="D182">
        <v>81</v>
      </c>
      <c r="E182">
        <v>624</v>
      </c>
      <c r="F182">
        <v>643</v>
      </c>
      <c r="G182" s="45">
        <f t="shared" si="9"/>
        <v>0.97045101088646968</v>
      </c>
      <c r="H182" s="45">
        <f t="shared" si="12"/>
        <v>0.48500731790863516</v>
      </c>
      <c r="I182" s="45">
        <f t="shared" si="10"/>
        <v>0.49382716049382713</v>
      </c>
      <c r="J182" s="45">
        <f t="shared" si="11"/>
        <v>8.8198425851919726E-3</v>
      </c>
    </row>
    <row r="183" spans="1:10" x14ac:dyDescent="0.35">
      <c r="A183" s="1">
        <v>2010</v>
      </c>
      <c r="B183" t="s">
        <v>0</v>
      </c>
      <c r="C183">
        <v>65</v>
      </c>
      <c r="D183">
        <v>97</v>
      </c>
      <c r="E183">
        <v>713</v>
      </c>
      <c r="F183">
        <v>836</v>
      </c>
      <c r="G183" s="45">
        <f t="shared" si="9"/>
        <v>0.85287081339712922</v>
      </c>
      <c r="H183" s="45">
        <f t="shared" si="12"/>
        <v>0.42109147535959379</v>
      </c>
      <c r="I183" s="45">
        <f t="shared" si="10"/>
        <v>0.40123456790123457</v>
      </c>
      <c r="J183" s="45">
        <f t="shared" si="11"/>
        <v>1.9856907458359219E-2</v>
      </c>
    </row>
    <row r="184" spans="1:10" x14ac:dyDescent="0.35">
      <c r="A184" s="1">
        <v>2010</v>
      </c>
      <c r="B184" t="s">
        <v>1</v>
      </c>
      <c r="C184">
        <v>91</v>
      </c>
      <c r="D184">
        <v>71</v>
      </c>
      <c r="E184">
        <v>738</v>
      </c>
      <c r="F184">
        <v>629</v>
      </c>
      <c r="G184" s="45">
        <f t="shared" si="9"/>
        <v>1.1732909379968204</v>
      </c>
      <c r="H184" s="45">
        <f t="shared" si="12"/>
        <v>0.57923289215503815</v>
      </c>
      <c r="I184" s="45">
        <f t="shared" si="10"/>
        <v>0.56172839506172845</v>
      </c>
      <c r="J184" s="45">
        <f t="shared" si="11"/>
        <v>1.7504497093309701E-2</v>
      </c>
    </row>
    <row r="185" spans="1:10" x14ac:dyDescent="0.35">
      <c r="A185" s="1">
        <v>2010</v>
      </c>
      <c r="B185" t="s">
        <v>2</v>
      </c>
      <c r="C185">
        <v>66</v>
      </c>
      <c r="D185">
        <v>96</v>
      </c>
      <c r="E185">
        <v>613</v>
      </c>
      <c r="F185">
        <v>785</v>
      </c>
      <c r="G185" s="45">
        <f t="shared" si="9"/>
        <v>0.78089171974522298</v>
      </c>
      <c r="H185" s="45">
        <f t="shared" si="12"/>
        <v>0.37880168630052202</v>
      </c>
      <c r="I185" s="45">
        <f t="shared" si="10"/>
        <v>0.40740740740740738</v>
      </c>
      <c r="J185" s="45">
        <f t="shared" si="11"/>
        <v>2.8605721106885362E-2</v>
      </c>
    </row>
    <row r="186" spans="1:10" x14ac:dyDescent="0.35">
      <c r="A186" s="1">
        <v>2010</v>
      </c>
      <c r="B186" t="s">
        <v>3</v>
      </c>
      <c r="C186">
        <v>89</v>
      </c>
      <c r="D186">
        <v>73</v>
      </c>
      <c r="E186">
        <v>818</v>
      </c>
      <c r="F186">
        <v>744</v>
      </c>
      <c r="G186" s="45">
        <f t="shared" si="9"/>
        <v>1.0994623655913978</v>
      </c>
      <c r="H186" s="45">
        <f t="shared" si="12"/>
        <v>0.54726906907889361</v>
      </c>
      <c r="I186" s="45">
        <f t="shared" si="10"/>
        <v>0.54938271604938271</v>
      </c>
      <c r="J186" s="45">
        <f t="shared" si="11"/>
        <v>2.1136469704891026E-3</v>
      </c>
    </row>
    <row r="187" spans="1:10" x14ac:dyDescent="0.35">
      <c r="A187" s="1">
        <v>2010</v>
      </c>
      <c r="B187" t="s">
        <v>4</v>
      </c>
      <c r="C187">
        <v>75</v>
      </c>
      <c r="D187">
        <v>87</v>
      </c>
      <c r="E187">
        <v>685</v>
      </c>
      <c r="F187">
        <v>767</v>
      </c>
      <c r="G187" s="45">
        <f t="shared" si="9"/>
        <v>0.89308996088657111</v>
      </c>
      <c r="H187" s="45">
        <f t="shared" si="12"/>
        <v>0.44370570980620588</v>
      </c>
      <c r="I187" s="45">
        <f t="shared" si="10"/>
        <v>0.46296296296296297</v>
      </c>
      <c r="J187" s="45">
        <f t="shared" si="11"/>
        <v>1.9257253156757081E-2</v>
      </c>
    </row>
    <row r="188" spans="1:10" x14ac:dyDescent="0.35">
      <c r="A188" s="1">
        <v>2010</v>
      </c>
      <c r="B188" t="s">
        <v>5</v>
      </c>
      <c r="C188">
        <v>88</v>
      </c>
      <c r="D188">
        <v>74</v>
      </c>
      <c r="E188">
        <v>752</v>
      </c>
      <c r="F188">
        <v>704</v>
      </c>
      <c r="G188" s="45">
        <f t="shared" si="9"/>
        <v>1.0681818181818181</v>
      </c>
      <c r="H188" s="45">
        <f t="shared" si="12"/>
        <v>0.53293124246079615</v>
      </c>
      <c r="I188" s="45">
        <f t="shared" si="10"/>
        <v>0.54320987654320985</v>
      </c>
      <c r="J188" s="45">
        <f t="shared" si="11"/>
        <v>1.0278634082413696E-2</v>
      </c>
    </row>
    <row r="189" spans="1:10" x14ac:dyDescent="0.35">
      <c r="A189" s="1">
        <v>2010</v>
      </c>
      <c r="B189" t="s">
        <v>6</v>
      </c>
      <c r="C189">
        <v>91</v>
      </c>
      <c r="D189">
        <v>71</v>
      </c>
      <c r="E189">
        <v>790</v>
      </c>
      <c r="F189">
        <v>685</v>
      </c>
      <c r="G189" s="45">
        <f t="shared" si="9"/>
        <v>1.1532846715328466</v>
      </c>
      <c r="H189" s="45">
        <f t="shared" si="12"/>
        <v>0.57082752155123129</v>
      </c>
      <c r="I189" s="45">
        <f t="shared" si="10"/>
        <v>0.56172839506172845</v>
      </c>
      <c r="J189" s="45">
        <f t="shared" si="11"/>
        <v>9.0991264895028401E-3</v>
      </c>
    </row>
    <row r="190" spans="1:10" x14ac:dyDescent="0.35">
      <c r="A190" s="1">
        <v>2010</v>
      </c>
      <c r="B190" t="s">
        <v>7</v>
      </c>
      <c r="C190">
        <v>69</v>
      </c>
      <c r="D190">
        <v>93</v>
      </c>
      <c r="E190">
        <v>646</v>
      </c>
      <c r="F190">
        <v>752</v>
      </c>
      <c r="G190" s="45">
        <f t="shared" si="9"/>
        <v>0.85904255319148937</v>
      </c>
      <c r="H190" s="45">
        <f t="shared" si="12"/>
        <v>0.42461081378075333</v>
      </c>
      <c r="I190" s="45">
        <f t="shared" si="10"/>
        <v>0.42592592592592593</v>
      </c>
      <c r="J190" s="45">
        <f t="shared" si="11"/>
        <v>1.3151121451726033E-3</v>
      </c>
    </row>
    <row r="191" spans="1:10" x14ac:dyDescent="0.35">
      <c r="A191" s="1">
        <v>2010</v>
      </c>
      <c r="B191" t="s">
        <v>8</v>
      </c>
      <c r="C191">
        <v>83</v>
      </c>
      <c r="D191">
        <v>79</v>
      </c>
      <c r="E191">
        <v>770</v>
      </c>
      <c r="F191">
        <v>717</v>
      </c>
      <c r="G191" s="45">
        <f t="shared" si="9"/>
        <v>1.0739191073919108</v>
      </c>
      <c r="H191" s="45">
        <f t="shared" si="12"/>
        <v>0.53559701135241644</v>
      </c>
      <c r="I191" s="45">
        <f t="shared" si="10"/>
        <v>0.51234567901234573</v>
      </c>
      <c r="J191" s="45">
        <f t="shared" si="11"/>
        <v>2.3251332340070707E-2</v>
      </c>
    </row>
    <row r="192" spans="1:10" x14ac:dyDescent="0.35">
      <c r="A192" s="1">
        <v>2010</v>
      </c>
      <c r="B192" t="s">
        <v>9</v>
      </c>
      <c r="C192">
        <v>81</v>
      </c>
      <c r="D192">
        <v>81</v>
      </c>
      <c r="E192">
        <v>751</v>
      </c>
      <c r="F192">
        <v>743</v>
      </c>
      <c r="G192" s="45">
        <f t="shared" si="9"/>
        <v>1.0107671601615074</v>
      </c>
      <c r="H192" s="45">
        <f t="shared" si="12"/>
        <v>0.50535459880829714</v>
      </c>
      <c r="I192" s="45">
        <f t="shared" si="10"/>
        <v>0.5</v>
      </c>
      <c r="J192" s="45">
        <f t="shared" si="11"/>
        <v>5.3545988082971396E-3</v>
      </c>
    </row>
    <row r="193" spans="1:10" x14ac:dyDescent="0.35">
      <c r="A193" s="1">
        <v>2010</v>
      </c>
      <c r="B193" t="s">
        <v>43</v>
      </c>
      <c r="C193">
        <v>80</v>
      </c>
      <c r="D193">
        <v>82</v>
      </c>
      <c r="E193">
        <v>719</v>
      </c>
      <c r="F193">
        <v>717</v>
      </c>
      <c r="G193" s="45">
        <f t="shared" si="9"/>
        <v>1.0027894002789399</v>
      </c>
      <c r="H193" s="45">
        <f t="shared" si="12"/>
        <v>0.5013927549585373</v>
      </c>
      <c r="I193" s="45">
        <f t="shared" si="10"/>
        <v>0.49382716049382713</v>
      </c>
      <c r="J193" s="45">
        <f t="shared" si="11"/>
        <v>7.5655944647101681E-3</v>
      </c>
    </row>
    <row r="194" spans="1:10" x14ac:dyDescent="0.35">
      <c r="A194" s="1">
        <v>2010</v>
      </c>
      <c r="B194" t="s">
        <v>10</v>
      </c>
      <c r="C194">
        <v>76</v>
      </c>
      <c r="D194">
        <v>86</v>
      </c>
      <c r="E194">
        <v>611</v>
      </c>
      <c r="F194">
        <v>729</v>
      </c>
      <c r="G194" s="45">
        <f t="shared" si="9"/>
        <v>0.83813443072702332</v>
      </c>
      <c r="H194" s="45">
        <f t="shared" si="12"/>
        <v>0.41261790393495745</v>
      </c>
      <c r="I194" s="45">
        <f t="shared" si="10"/>
        <v>0.46913580246913578</v>
      </c>
      <c r="J194" s="45">
        <f t="shared" si="11"/>
        <v>5.6517898534178324E-2</v>
      </c>
    </row>
    <row r="195" spans="1:10" x14ac:dyDescent="0.35">
      <c r="A195" s="1">
        <v>2010</v>
      </c>
      <c r="B195" t="s">
        <v>11</v>
      </c>
      <c r="C195">
        <v>67</v>
      </c>
      <c r="D195">
        <v>95</v>
      </c>
      <c r="E195">
        <v>676</v>
      </c>
      <c r="F195">
        <v>845</v>
      </c>
      <c r="G195" s="45">
        <f t="shared" ref="G195:G258" si="13">E195/F195</f>
        <v>0.8</v>
      </c>
      <c r="H195" s="45">
        <f t="shared" si="12"/>
        <v>0.39024390243902446</v>
      </c>
      <c r="I195" s="45">
        <f t="shared" ref="I195:I258" si="14">C195/162</f>
        <v>0.41358024691358025</v>
      </c>
      <c r="J195" s="45">
        <f t="shared" ref="J195:J258" si="15">ABS(H195-I195)</f>
        <v>2.3336344474555792E-2</v>
      </c>
    </row>
    <row r="196" spans="1:10" x14ac:dyDescent="0.35">
      <c r="A196" s="1">
        <v>2010</v>
      </c>
      <c r="B196" t="s">
        <v>12</v>
      </c>
      <c r="C196">
        <v>80</v>
      </c>
      <c r="D196">
        <v>82</v>
      </c>
      <c r="E196">
        <v>681</v>
      </c>
      <c r="F196">
        <v>702</v>
      </c>
      <c r="G196" s="45">
        <f t="shared" si="13"/>
        <v>0.97008547008547008</v>
      </c>
      <c r="H196" s="45">
        <f t="shared" si="12"/>
        <v>0.48481911840805381</v>
      </c>
      <c r="I196" s="45">
        <f t="shared" si="14"/>
        <v>0.49382716049382713</v>
      </c>
      <c r="J196" s="45">
        <f t="shared" si="15"/>
        <v>9.0080420857733268E-3</v>
      </c>
    </row>
    <row r="197" spans="1:10" x14ac:dyDescent="0.35">
      <c r="A197" s="1">
        <v>2010</v>
      </c>
      <c r="B197" t="s">
        <v>13</v>
      </c>
      <c r="C197">
        <v>80</v>
      </c>
      <c r="D197">
        <v>82</v>
      </c>
      <c r="E197">
        <v>667</v>
      </c>
      <c r="F197">
        <v>692</v>
      </c>
      <c r="G197" s="45">
        <f t="shared" si="13"/>
        <v>0.96387283236994215</v>
      </c>
      <c r="H197" s="45">
        <f t="shared" si="12"/>
        <v>0.48161034389062873</v>
      </c>
      <c r="I197" s="45">
        <f t="shared" si="14"/>
        <v>0.49382716049382713</v>
      </c>
      <c r="J197" s="45">
        <f t="shared" si="15"/>
        <v>1.2216816603198399E-2</v>
      </c>
    </row>
    <row r="198" spans="1:10" x14ac:dyDescent="0.35">
      <c r="A198" s="1">
        <v>2010</v>
      </c>
      <c r="B198" t="s">
        <v>15</v>
      </c>
      <c r="C198">
        <v>77</v>
      </c>
      <c r="D198">
        <v>85</v>
      </c>
      <c r="E198">
        <v>750</v>
      </c>
      <c r="F198">
        <v>804</v>
      </c>
      <c r="G198" s="45">
        <f t="shared" si="13"/>
        <v>0.93283582089552242</v>
      </c>
      <c r="H198" s="45">
        <f t="shared" si="12"/>
        <v>0.46529287394657692</v>
      </c>
      <c r="I198" s="45">
        <f t="shared" si="14"/>
        <v>0.47530864197530864</v>
      </c>
      <c r="J198" s="45">
        <f t="shared" si="15"/>
        <v>1.001576802873172E-2</v>
      </c>
    </row>
    <row r="199" spans="1:10" x14ac:dyDescent="0.35">
      <c r="A199" s="1">
        <v>2010</v>
      </c>
      <c r="B199" t="s">
        <v>16</v>
      </c>
      <c r="C199">
        <v>94</v>
      </c>
      <c r="D199">
        <v>68</v>
      </c>
      <c r="E199">
        <v>781</v>
      </c>
      <c r="F199">
        <v>671</v>
      </c>
      <c r="G199" s="45">
        <f t="shared" si="13"/>
        <v>1.1639344262295082</v>
      </c>
      <c r="H199" s="45">
        <f t="shared" si="12"/>
        <v>0.57532526820360641</v>
      </c>
      <c r="I199" s="45">
        <f t="shared" si="14"/>
        <v>0.58024691358024694</v>
      </c>
      <c r="J199" s="45">
        <f t="shared" si="15"/>
        <v>4.9216453766405266E-3</v>
      </c>
    </row>
    <row r="200" spans="1:10" x14ac:dyDescent="0.35">
      <c r="A200" s="1">
        <v>2010</v>
      </c>
      <c r="B200" t="s">
        <v>17</v>
      </c>
      <c r="C200">
        <v>79</v>
      </c>
      <c r="D200">
        <v>83</v>
      </c>
      <c r="E200">
        <v>656</v>
      </c>
      <c r="F200">
        <v>652</v>
      </c>
      <c r="G200" s="45">
        <f t="shared" si="13"/>
        <v>1.0061349693251533</v>
      </c>
      <c r="H200" s="45">
        <f t="shared" si="12"/>
        <v>0.50305807537641445</v>
      </c>
      <c r="I200" s="45">
        <f t="shared" si="14"/>
        <v>0.48765432098765432</v>
      </c>
      <c r="J200" s="45">
        <f t="shared" si="15"/>
        <v>1.5403754388760127E-2</v>
      </c>
    </row>
    <row r="201" spans="1:10" x14ac:dyDescent="0.35">
      <c r="A201" s="1">
        <v>2010</v>
      </c>
      <c r="B201" t="s">
        <v>18</v>
      </c>
      <c r="C201">
        <v>95</v>
      </c>
      <c r="D201">
        <v>67</v>
      </c>
      <c r="E201">
        <v>859</v>
      </c>
      <c r="F201">
        <v>693</v>
      </c>
      <c r="G201" s="45">
        <f t="shared" si="13"/>
        <v>1.2395382395382395</v>
      </c>
      <c r="H201" s="45">
        <f t="shared" si="12"/>
        <v>0.6057489758892729</v>
      </c>
      <c r="I201" s="45">
        <f t="shared" si="14"/>
        <v>0.5864197530864198</v>
      </c>
      <c r="J201" s="45">
        <f t="shared" si="15"/>
        <v>1.9329222802853097E-2</v>
      </c>
    </row>
    <row r="202" spans="1:10" x14ac:dyDescent="0.35">
      <c r="A202" s="1">
        <v>2010</v>
      </c>
      <c r="B202" t="s">
        <v>19</v>
      </c>
      <c r="C202">
        <v>81</v>
      </c>
      <c r="D202">
        <v>81</v>
      </c>
      <c r="E202">
        <v>663</v>
      </c>
      <c r="F202">
        <v>626</v>
      </c>
      <c r="G202" s="45">
        <f t="shared" si="13"/>
        <v>1.0591054313099042</v>
      </c>
      <c r="H202" s="45">
        <f t="shared" si="12"/>
        <v>0.52868079067166196</v>
      </c>
      <c r="I202" s="45">
        <f t="shared" si="14"/>
        <v>0.5</v>
      </c>
      <c r="J202" s="45">
        <f t="shared" si="15"/>
        <v>2.868079067166196E-2</v>
      </c>
    </row>
    <row r="203" spans="1:10" x14ac:dyDescent="0.35">
      <c r="A203" s="1">
        <v>2010</v>
      </c>
      <c r="B203" t="s">
        <v>20</v>
      </c>
      <c r="C203">
        <v>97</v>
      </c>
      <c r="D203">
        <v>65</v>
      </c>
      <c r="E203">
        <v>772</v>
      </c>
      <c r="F203">
        <v>640</v>
      </c>
      <c r="G203" s="45">
        <f t="shared" si="13"/>
        <v>1.20625</v>
      </c>
      <c r="H203" s="45">
        <f t="shared" si="12"/>
        <v>0.5926745055609477</v>
      </c>
      <c r="I203" s="45">
        <f t="shared" si="14"/>
        <v>0.59876543209876543</v>
      </c>
      <c r="J203" s="45">
        <f t="shared" si="15"/>
        <v>6.0909265378177313E-3</v>
      </c>
    </row>
    <row r="204" spans="1:10" x14ac:dyDescent="0.35">
      <c r="A204" s="1">
        <v>2010</v>
      </c>
      <c r="B204" t="s">
        <v>21</v>
      </c>
      <c r="C204">
        <v>57</v>
      </c>
      <c r="D204">
        <v>105</v>
      </c>
      <c r="E204">
        <v>587</v>
      </c>
      <c r="F204">
        <v>866</v>
      </c>
      <c r="G204" s="45">
        <f t="shared" si="13"/>
        <v>0.6778290993071594</v>
      </c>
      <c r="H204" s="45">
        <f t="shared" si="12"/>
        <v>0.31481144788835341</v>
      </c>
      <c r="I204" s="45">
        <f t="shared" si="14"/>
        <v>0.35185185185185186</v>
      </c>
      <c r="J204" s="45">
        <f t="shared" si="15"/>
        <v>3.7040403963498447E-2</v>
      </c>
    </row>
    <row r="205" spans="1:10" x14ac:dyDescent="0.35">
      <c r="A205" s="1">
        <v>2010</v>
      </c>
      <c r="B205" t="s">
        <v>22</v>
      </c>
      <c r="C205">
        <v>90</v>
      </c>
      <c r="D205">
        <v>72</v>
      </c>
      <c r="E205">
        <v>665</v>
      </c>
      <c r="F205">
        <v>581</v>
      </c>
      <c r="G205" s="45">
        <f t="shared" si="13"/>
        <v>1.1445783132530121</v>
      </c>
      <c r="H205" s="45">
        <f t="shared" si="12"/>
        <v>0.56711072012064856</v>
      </c>
      <c r="I205" s="45">
        <f t="shared" si="14"/>
        <v>0.55555555555555558</v>
      </c>
      <c r="J205" s="45">
        <f t="shared" si="15"/>
        <v>1.1555164565092979E-2</v>
      </c>
    </row>
    <row r="206" spans="1:10" x14ac:dyDescent="0.35">
      <c r="A206" s="1">
        <v>2010</v>
      </c>
      <c r="B206" t="s">
        <v>23</v>
      </c>
      <c r="C206">
        <v>61</v>
      </c>
      <c r="D206">
        <v>101</v>
      </c>
      <c r="E206">
        <v>513</v>
      </c>
      <c r="F206">
        <v>698</v>
      </c>
      <c r="G206" s="45">
        <f t="shared" si="13"/>
        <v>0.73495702005730656</v>
      </c>
      <c r="H206" s="45">
        <f t="shared" si="12"/>
        <v>0.35071757645864127</v>
      </c>
      <c r="I206" s="45">
        <f t="shared" si="14"/>
        <v>0.37654320987654322</v>
      </c>
      <c r="J206" s="45">
        <f t="shared" si="15"/>
        <v>2.582563341790195E-2</v>
      </c>
    </row>
    <row r="207" spans="1:10" x14ac:dyDescent="0.35">
      <c r="A207" s="1">
        <v>2010</v>
      </c>
      <c r="B207" t="s">
        <v>24</v>
      </c>
      <c r="C207">
        <v>92</v>
      </c>
      <c r="D207">
        <v>70</v>
      </c>
      <c r="E207">
        <v>697</v>
      </c>
      <c r="F207">
        <v>583</v>
      </c>
      <c r="G207" s="45">
        <f t="shared" si="13"/>
        <v>1.195540308747856</v>
      </c>
      <c r="H207" s="45">
        <f t="shared" si="12"/>
        <v>0.58836160436382301</v>
      </c>
      <c r="I207" s="45">
        <f t="shared" si="14"/>
        <v>0.5679012345679012</v>
      </c>
      <c r="J207" s="45">
        <f t="shared" si="15"/>
        <v>2.0460369795921807E-2</v>
      </c>
    </row>
    <row r="208" spans="1:10" x14ac:dyDescent="0.35">
      <c r="A208" s="1">
        <v>2010</v>
      </c>
      <c r="B208" t="s">
        <v>25</v>
      </c>
      <c r="C208">
        <v>86</v>
      </c>
      <c r="D208">
        <v>76</v>
      </c>
      <c r="E208">
        <v>736</v>
      </c>
      <c r="F208">
        <v>641</v>
      </c>
      <c r="G208" s="45">
        <f t="shared" si="13"/>
        <v>1.1482059282371295</v>
      </c>
      <c r="H208" s="45">
        <f t="shared" si="12"/>
        <v>0.56866374056900393</v>
      </c>
      <c r="I208" s="45">
        <f t="shared" si="14"/>
        <v>0.53086419753086422</v>
      </c>
      <c r="J208" s="45">
        <f t="shared" si="15"/>
        <v>3.7799543038139705E-2</v>
      </c>
    </row>
    <row r="209" spans="1:10" x14ac:dyDescent="0.35">
      <c r="A209" s="1">
        <v>2010</v>
      </c>
      <c r="B209" t="s">
        <v>26</v>
      </c>
      <c r="C209">
        <v>96</v>
      </c>
      <c r="D209">
        <v>66</v>
      </c>
      <c r="E209">
        <v>802</v>
      </c>
      <c r="F209">
        <v>649</v>
      </c>
      <c r="G209" s="45">
        <f t="shared" si="13"/>
        <v>1.2357473035439137</v>
      </c>
      <c r="H209" s="45">
        <f t="shared" si="12"/>
        <v>0.60428502308801635</v>
      </c>
      <c r="I209" s="45">
        <f t="shared" si="14"/>
        <v>0.59259259259259256</v>
      </c>
      <c r="J209" s="45">
        <f t="shared" si="15"/>
        <v>1.1692430495423789E-2</v>
      </c>
    </row>
    <row r="210" spans="1:10" x14ac:dyDescent="0.35">
      <c r="A210" s="1">
        <v>2010</v>
      </c>
      <c r="B210" t="s">
        <v>27</v>
      </c>
      <c r="C210">
        <v>90</v>
      </c>
      <c r="D210">
        <v>72</v>
      </c>
      <c r="E210">
        <v>787</v>
      </c>
      <c r="F210">
        <v>687</v>
      </c>
      <c r="G210" s="45">
        <f t="shared" si="13"/>
        <v>1.1455604075691412</v>
      </c>
      <c r="H210" s="45">
        <f t="shared" si="12"/>
        <v>0.56753178208767585</v>
      </c>
      <c r="I210" s="45">
        <f t="shared" si="14"/>
        <v>0.55555555555555558</v>
      </c>
      <c r="J210" s="45">
        <f t="shared" si="15"/>
        <v>1.1976226532120271E-2</v>
      </c>
    </row>
    <row r="211" spans="1:10" x14ac:dyDescent="0.35">
      <c r="A211" s="1">
        <v>2010</v>
      </c>
      <c r="B211" t="s">
        <v>28</v>
      </c>
      <c r="C211">
        <v>85</v>
      </c>
      <c r="D211">
        <v>77</v>
      </c>
      <c r="E211">
        <v>755</v>
      </c>
      <c r="F211">
        <v>728</v>
      </c>
      <c r="G211" s="45">
        <f t="shared" si="13"/>
        <v>1.0370879120879122</v>
      </c>
      <c r="H211" s="45">
        <f t="shared" si="12"/>
        <v>0.51820030563386299</v>
      </c>
      <c r="I211" s="45">
        <f t="shared" si="14"/>
        <v>0.52469135802469136</v>
      </c>
      <c r="J211" s="45">
        <f t="shared" si="15"/>
        <v>6.4910523908283668E-3</v>
      </c>
    </row>
    <row r="212" spans="1:10" x14ac:dyDescent="0.35">
      <c r="A212" s="1">
        <v>2010</v>
      </c>
      <c r="B212" t="s">
        <v>29</v>
      </c>
      <c r="C212">
        <v>69</v>
      </c>
      <c r="D212">
        <v>93</v>
      </c>
      <c r="E212">
        <v>655</v>
      </c>
      <c r="F212">
        <v>742</v>
      </c>
      <c r="G212" s="45">
        <f t="shared" si="13"/>
        <v>0.88274932614555257</v>
      </c>
      <c r="H212" s="45">
        <f t="shared" si="12"/>
        <v>0.43796428910492058</v>
      </c>
      <c r="I212" s="45">
        <f t="shared" si="14"/>
        <v>0.42592592592592593</v>
      </c>
      <c r="J212" s="45">
        <f t="shared" si="15"/>
        <v>1.2038363178994649E-2</v>
      </c>
    </row>
    <row r="213" spans="1:10" x14ac:dyDescent="0.35">
      <c r="A213" s="1">
        <v>2009</v>
      </c>
      <c r="B213" t="s">
        <v>0</v>
      </c>
      <c r="C213">
        <v>70</v>
      </c>
      <c r="D213">
        <v>92</v>
      </c>
      <c r="E213">
        <v>720</v>
      </c>
      <c r="F213">
        <v>782</v>
      </c>
      <c r="G213" s="45">
        <f t="shared" si="13"/>
        <v>0.92071611253196928</v>
      </c>
      <c r="H213" s="45">
        <f t="shared" si="12"/>
        <v>0.4587919187485176</v>
      </c>
      <c r="I213" s="45">
        <f t="shared" si="14"/>
        <v>0.43209876543209874</v>
      </c>
      <c r="J213" s="45">
        <f t="shared" si="15"/>
        <v>2.6693153316418861E-2</v>
      </c>
    </row>
    <row r="214" spans="1:10" x14ac:dyDescent="0.35">
      <c r="A214" s="1">
        <v>2009</v>
      </c>
      <c r="B214" t="s">
        <v>1</v>
      </c>
      <c r="C214">
        <v>86</v>
      </c>
      <c r="D214">
        <v>76</v>
      </c>
      <c r="E214">
        <v>735</v>
      </c>
      <c r="F214">
        <v>641</v>
      </c>
      <c r="G214" s="45">
        <f t="shared" si="13"/>
        <v>1.1466458658346335</v>
      </c>
      <c r="H214" s="45">
        <f t="shared" si="12"/>
        <v>0.56799662708467835</v>
      </c>
      <c r="I214" s="45">
        <f t="shared" si="14"/>
        <v>0.53086419753086422</v>
      </c>
      <c r="J214" s="45">
        <f t="shared" si="15"/>
        <v>3.7132429553814128E-2</v>
      </c>
    </row>
    <row r="215" spans="1:10" x14ac:dyDescent="0.35">
      <c r="A215" s="1">
        <v>2009</v>
      </c>
      <c r="B215" t="s">
        <v>2</v>
      </c>
      <c r="C215">
        <v>64</v>
      </c>
      <c r="D215">
        <v>98</v>
      </c>
      <c r="E215">
        <v>741</v>
      </c>
      <c r="F215">
        <v>876</v>
      </c>
      <c r="G215" s="45">
        <f t="shared" si="13"/>
        <v>0.84589041095890416</v>
      </c>
      <c r="H215" s="45">
        <f t="shared" si="12"/>
        <v>0.4170899619205185</v>
      </c>
      <c r="I215" s="45">
        <f t="shared" si="14"/>
        <v>0.39506172839506171</v>
      </c>
      <c r="J215" s="45">
        <f t="shared" si="15"/>
        <v>2.2028233525456797E-2</v>
      </c>
    </row>
    <row r="216" spans="1:10" x14ac:dyDescent="0.35">
      <c r="A216" s="1">
        <v>2009</v>
      </c>
      <c r="B216" t="s">
        <v>3</v>
      </c>
      <c r="C216">
        <v>95</v>
      </c>
      <c r="D216">
        <v>67</v>
      </c>
      <c r="E216">
        <v>872</v>
      </c>
      <c r="F216">
        <v>736</v>
      </c>
      <c r="G216" s="45">
        <f t="shared" si="13"/>
        <v>1.1847826086956521</v>
      </c>
      <c r="H216" s="45">
        <f t="shared" si="12"/>
        <v>0.58397640697960185</v>
      </c>
      <c r="I216" s="45">
        <f t="shared" si="14"/>
        <v>0.5864197530864198</v>
      </c>
      <c r="J216" s="45">
        <f t="shared" si="15"/>
        <v>2.4433461068179563E-3</v>
      </c>
    </row>
    <row r="217" spans="1:10" x14ac:dyDescent="0.35">
      <c r="A217" s="1">
        <v>2009</v>
      </c>
      <c r="B217" t="s">
        <v>4</v>
      </c>
      <c r="C217">
        <v>83</v>
      </c>
      <c r="D217">
        <v>78</v>
      </c>
      <c r="E217">
        <v>707</v>
      </c>
      <c r="F217">
        <v>672</v>
      </c>
      <c r="G217" s="45">
        <f t="shared" si="13"/>
        <v>1.0520833333333333</v>
      </c>
      <c r="H217" s="45">
        <f t="shared" si="12"/>
        <v>0.52536437142709991</v>
      </c>
      <c r="I217" s="45">
        <f t="shared" si="14"/>
        <v>0.51234567901234573</v>
      </c>
      <c r="J217" s="45">
        <f t="shared" si="15"/>
        <v>1.3018692414754174E-2</v>
      </c>
    </row>
    <row r="218" spans="1:10" x14ac:dyDescent="0.35">
      <c r="A218" s="1">
        <v>2009</v>
      </c>
      <c r="B218" t="s">
        <v>5</v>
      </c>
      <c r="C218">
        <v>79</v>
      </c>
      <c r="D218">
        <v>83</v>
      </c>
      <c r="E218">
        <v>724</v>
      </c>
      <c r="F218">
        <v>732</v>
      </c>
      <c r="G218" s="45">
        <f t="shared" si="13"/>
        <v>0.98907103825136611</v>
      </c>
      <c r="H218" s="45">
        <f t="shared" si="12"/>
        <v>0.49450566037735849</v>
      </c>
      <c r="I218" s="45">
        <f t="shared" si="14"/>
        <v>0.48765432098765432</v>
      </c>
      <c r="J218" s="45">
        <f t="shared" si="15"/>
        <v>6.8513393897041697E-3</v>
      </c>
    </row>
    <row r="219" spans="1:10" x14ac:dyDescent="0.35">
      <c r="A219" s="1">
        <v>2009</v>
      </c>
      <c r="B219" t="s">
        <v>6</v>
      </c>
      <c r="C219">
        <v>78</v>
      </c>
      <c r="D219">
        <v>84</v>
      </c>
      <c r="E219">
        <v>673</v>
      </c>
      <c r="F219">
        <v>723</v>
      </c>
      <c r="G219" s="45">
        <f t="shared" si="13"/>
        <v>0.93084370677731676</v>
      </c>
      <c r="H219" s="45">
        <f t="shared" si="12"/>
        <v>0.46422926886265475</v>
      </c>
      <c r="I219" s="45">
        <f t="shared" si="14"/>
        <v>0.48148148148148145</v>
      </c>
      <c r="J219" s="45">
        <f t="shared" si="15"/>
        <v>1.7252212618826701E-2</v>
      </c>
    </row>
    <row r="220" spans="1:10" x14ac:dyDescent="0.35">
      <c r="A220" s="1">
        <v>2009</v>
      </c>
      <c r="B220" t="s">
        <v>7</v>
      </c>
      <c r="C220">
        <v>65</v>
      </c>
      <c r="D220">
        <v>97</v>
      </c>
      <c r="E220">
        <v>773</v>
      </c>
      <c r="F220">
        <v>865</v>
      </c>
      <c r="G220" s="45">
        <f t="shared" si="13"/>
        <v>0.89364161849710988</v>
      </c>
      <c r="H220" s="45">
        <f t="shared" si="12"/>
        <v>0.44401056953945522</v>
      </c>
      <c r="I220" s="45">
        <f t="shared" si="14"/>
        <v>0.40123456790123457</v>
      </c>
      <c r="J220" s="45">
        <f t="shared" si="15"/>
        <v>4.2776001638220651E-2</v>
      </c>
    </row>
    <row r="221" spans="1:10" x14ac:dyDescent="0.35">
      <c r="A221" s="1">
        <v>2009</v>
      </c>
      <c r="B221" t="s">
        <v>8</v>
      </c>
      <c r="C221">
        <v>92</v>
      </c>
      <c r="D221">
        <v>70</v>
      </c>
      <c r="E221">
        <v>804</v>
      </c>
      <c r="F221">
        <v>715</v>
      </c>
      <c r="G221" s="45">
        <f t="shared" si="13"/>
        <v>1.1244755244755245</v>
      </c>
      <c r="H221" s="45">
        <f t="shared" ref="H221:H284" si="16">(G221^2)/((G221^2)+1)</f>
        <v>0.5583907273498433</v>
      </c>
      <c r="I221" s="45">
        <f t="shared" si="14"/>
        <v>0.5679012345679012</v>
      </c>
      <c r="J221" s="45">
        <f t="shared" si="15"/>
        <v>9.5105072180579064E-3</v>
      </c>
    </row>
    <row r="222" spans="1:10" x14ac:dyDescent="0.35">
      <c r="A222" s="1">
        <v>2009</v>
      </c>
      <c r="B222" t="s">
        <v>9</v>
      </c>
      <c r="C222">
        <v>86</v>
      </c>
      <c r="D222">
        <v>77</v>
      </c>
      <c r="E222">
        <v>743</v>
      </c>
      <c r="F222">
        <v>745</v>
      </c>
      <c r="G222" s="45">
        <f t="shared" si="13"/>
        <v>0.99731543624161079</v>
      </c>
      <c r="H222" s="45">
        <f t="shared" si="16"/>
        <v>0.49865591640667201</v>
      </c>
      <c r="I222" s="45">
        <f t="shared" si="14"/>
        <v>0.53086419753086422</v>
      </c>
      <c r="J222" s="45">
        <f t="shared" si="15"/>
        <v>3.2208281124192217E-2</v>
      </c>
    </row>
    <row r="223" spans="1:10" x14ac:dyDescent="0.35">
      <c r="A223" s="1">
        <v>2009</v>
      </c>
      <c r="B223" t="s">
        <v>43</v>
      </c>
      <c r="C223">
        <v>87</v>
      </c>
      <c r="D223">
        <v>75</v>
      </c>
      <c r="E223">
        <v>772</v>
      </c>
      <c r="F223">
        <v>766</v>
      </c>
      <c r="G223" s="45">
        <f t="shared" si="13"/>
        <v>1.0078328981723237</v>
      </c>
      <c r="H223" s="45">
        <f t="shared" si="16"/>
        <v>0.50390111097958967</v>
      </c>
      <c r="I223" s="45">
        <f t="shared" si="14"/>
        <v>0.53703703703703709</v>
      </c>
      <c r="J223" s="45">
        <f t="shared" si="15"/>
        <v>3.3135926057447418E-2</v>
      </c>
    </row>
    <row r="224" spans="1:10" x14ac:dyDescent="0.35">
      <c r="A224" s="1">
        <v>2009</v>
      </c>
      <c r="B224" t="s">
        <v>10</v>
      </c>
      <c r="C224">
        <v>74</v>
      </c>
      <c r="D224">
        <v>88</v>
      </c>
      <c r="E224">
        <v>643</v>
      </c>
      <c r="F224">
        <v>770</v>
      </c>
      <c r="G224" s="45">
        <f t="shared" si="13"/>
        <v>0.83506493506493507</v>
      </c>
      <c r="H224" s="45">
        <f t="shared" si="16"/>
        <v>0.41084057320074846</v>
      </c>
      <c r="I224" s="45">
        <f t="shared" si="14"/>
        <v>0.4567901234567901</v>
      </c>
      <c r="J224" s="45">
        <f t="shared" si="15"/>
        <v>4.5949550256041638E-2</v>
      </c>
    </row>
    <row r="225" spans="1:10" x14ac:dyDescent="0.35">
      <c r="A225" s="1">
        <v>2009</v>
      </c>
      <c r="B225" t="s">
        <v>11</v>
      </c>
      <c r="C225">
        <v>65</v>
      </c>
      <c r="D225">
        <v>97</v>
      </c>
      <c r="E225">
        <v>686</v>
      </c>
      <c r="F225">
        <v>842</v>
      </c>
      <c r="G225" s="45">
        <f t="shared" si="13"/>
        <v>0.81472684085510694</v>
      </c>
      <c r="H225" s="45">
        <f t="shared" si="16"/>
        <v>0.39895893383973691</v>
      </c>
      <c r="I225" s="45">
        <f t="shared" si="14"/>
        <v>0.40123456790123457</v>
      </c>
      <c r="J225" s="45">
        <f t="shared" si="15"/>
        <v>2.2756340614976667E-3</v>
      </c>
    </row>
    <row r="226" spans="1:10" x14ac:dyDescent="0.35">
      <c r="A226" s="1">
        <v>2009</v>
      </c>
      <c r="B226" t="s">
        <v>12</v>
      </c>
      <c r="C226">
        <v>97</v>
      </c>
      <c r="D226">
        <v>65</v>
      </c>
      <c r="E226">
        <v>883</v>
      </c>
      <c r="F226">
        <v>761</v>
      </c>
      <c r="G226" s="45">
        <f t="shared" si="13"/>
        <v>1.1603153745072274</v>
      </c>
      <c r="H226" s="45">
        <f t="shared" si="16"/>
        <v>0.57380281275527856</v>
      </c>
      <c r="I226" s="45">
        <f t="shared" si="14"/>
        <v>0.59876543209876543</v>
      </c>
      <c r="J226" s="45">
        <f t="shared" si="15"/>
        <v>2.4962619343486869E-2</v>
      </c>
    </row>
    <row r="227" spans="1:10" x14ac:dyDescent="0.35">
      <c r="A227" s="1">
        <v>2009</v>
      </c>
      <c r="B227" t="s">
        <v>13</v>
      </c>
      <c r="C227">
        <v>95</v>
      </c>
      <c r="D227">
        <v>67</v>
      </c>
      <c r="E227">
        <v>780</v>
      </c>
      <c r="F227">
        <v>611</v>
      </c>
      <c r="G227" s="45">
        <f t="shared" si="13"/>
        <v>1.2765957446808511</v>
      </c>
      <c r="H227" s="45">
        <f t="shared" si="16"/>
        <v>0.61972800826304009</v>
      </c>
      <c r="I227" s="45">
        <f t="shared" si="14"/>
        <v>0.5864197530864198</v>
      </c>
      <c r="J227" s="45">
        <f t="shared" si="15"/>
        <v>3.3308255176620283E-2</v>
      </c>
    </row>
    <row r="228" spans="1:10" x14ac:dyDescent="0.35">
      <c r="A228" s="1">
        <v>2009</v>
      </c>
      <c r="B228" t="s">
        <v>15</v>
      </c>
      <c r="C228">
        <v>80</v>
      </c>
      <c r="D228">
        <v>82</v>
      </c>
      <c r="E228">
        <v>785</v>
      </c>
      <c r="F228">
        <v>818</v>
      </c>
      <c r="G228" s="45">
        <f t="shared" si="13"/>
        <v>0.95965770171149145</v>
      </c>
      <c r="H228" s="45">
        <f t="shared" si="16"/>
        <v>0.47942232031922849</v>
      </c>
      <c r="I228" s="45">
        <f t="shared" si="14"/>
        <v>0.49382716049382713</v>
      </c>
      <c r="J228" s="45">
        <f t="shared" si="15"/>
        <v>1.4404840174598643E-2</v>
      </c>
    </row>
    <row r="229" spans="1:10" x14ac:dyDescent="0.35">
      <c r="A229" s="1">
        <v>2009</v>
      </c>
      <c r="B229" t="s">
        <v>16</v>
      </c>
      <c r="C229">
        <v>87</v>
      </c>
      <c r="D229">
        <v>76</v>
      </c>
      <c r="E229">
        <v>817</v>
      </c>
      <c r="F229">
        <v>765</v>
      </c>
      <c r="G229" s="45">
        <f t="shared" si="13"/>
        <v>1.0679738562091503</v>
      </c>
      <c r="H229" s="45">
        <f t="shared" si="16"/>
        <v>0.53283431014581151</v>
      </c>
      <c r="I229" s="45">
        <f t="shared" si="14"/>
        <v>0.53703703703703709</v>
      </c>
      <c r="J229" s="45">
        <f t="shared" si="15"/>
        <v>4.2027268912255833E-3</v>
      </c>
    </row>
    <row r="230" spans="1:10" x14ac:dyDescent="0.35">
      <c r="A230" s="1">
        <v>2009</v>
      </c>
      <c r="B230" t="s">
        <v>17</v>
      </c>
      <c r="C230">
        <v>70</v>
      </c>
      <c r="D230">
        <v>92</v>
      </c>
      <c r="E230">
        <v>671</v>
      </c>
      <c r="F230">
        <v>757</v>
      </c>
      <c r="G230" s="45">
        <f t="shared" si="13"/>
        <v>0.88639365918097757</v>
      </c>
      <c r="H230" s="45">
        <f t="shared" si="16"/>
        <v>0.43999355021548142</v>
      </c>
      <c r="I230" s="45">
        <f t="shared" si="14"/>
        <v>0.43209876543209874</v>
      </c>
      <c r="J230" s="45">
        <f t="shared" si="15"/>
        <v>7.8947847833826801E-3</v>
      </c>
    </row>
    <row r="231" spans="1:10" x14ac:dyDescent="0.35">
      <c r="A231" s="1">
        <v>2009</v>
      </c>
      <c r="B231" t="s">
        <v>18</v>
      </c>
      <c r="C231">
        <v>103</v>
      </c>
      <c r="D231">
        <v>59</v>
      </c>
      <c r="E231">
        <v>915</v>
      </c>
      <c r="F231">
        <v>753</v>
      </c>
      <c r="G231" s="45">
        <f t="shared" si="13"/>
        <v>1.2151394422310757</v>
      </c>
      <c r="H231" s="45">
        <f t="shared" si="16"/>
        <v>0.59621473344186227</v>
      </c>
      <c r="I231" s="45">
        <f t="shared" si="14"/>
        <v>0.63580246913580252</v>
      </c>
      <c r="J231" s="45">
        <f t="shared" si="15"/>
        <v>3.9587735693940251E-2</v>
      </c>
    </row>
    <row r="232" spans="1:10" x14ac:dyDescent="0.35">
      <c r="A232" s="1">
        <v>2009</v>
      </c>
      <c r="B232" t="s">
        <v>19</v>
      </c>
      <c r="C232">
        <v>75</v>
      </c>
      <c r="D232">
        <v>87</v>
      </c>
      <c r="E232">
        <v>759</v>
      </c>
      <c r="F232">
        <v>761</v>
      </c>
      <c r="G232" s="45">
        <f t="shared" si="13"/>
        <v>0.99737187910643887</v>
      </c>
      <c r="H232" s="45">
        <f t="shared" si="16"/>
        <v>0.49868421280434067</v>
      </c>
      <c r="I232" s="45">
        <f t="shared" si="14"/>
        <v>0.46296296296296297</v>
      </c>
      <c r="J232" s="45">
        <f t="shared" si="15"/>
        <v>3.57212498413777E-2</v>
      </c>
    </row>
    <row r="233" spans="1:10" x14ac:dyDescent="0.35">
      <c r="A233" s="1">
        <v>2009</v>
      </c>
      <c r="B233" t="s">
        <v>20</v>
      </c>
      <c r="C233">
        <v>93</v>
      </c>
      <c r="D233">
        <v>69</v>
      </c>
      <c r="E233">
        <v>820</v>
      </c>
      <c r="F233">
        <v>709</v>
      </c>
      <c r="G233" s="45">
        <f t="shared" si="13"/>
        <v>1.156558533145275</v>
      </c>
      <c r="H233" s="45">
        <f t="shared" si="16"/>
        <v>0.57221587277813191</v>
      </c>
      <c r="I233" s="45">
        <f t="shared" si="14"/>
        <v>0.57407407407407407</v>
      </c>
      <c r="J233" s="45">
        <f t="shared" si="15"/>
        <v>1.8582012959421634E-3</v>
      </c>
    </row>
    <row r="234" spans="1:10" x14ac:dyDescent="0.35">
      <c r="A234" s="1">
        <v>2009</v>
      </c>
      <c r="B234" t="s">
        <v>21</v>
      </c>
      <c r="C234">
        <v>62</v>
      </c>
      <c r="D234">
        <v>99</v>
      </c>
      <c r="E234">
        <v>636</v>
      </c>
      <c r="F234">
        <v>768</v>
      </c>
      <c r="G234" s="45">
        <f t="shared" si="13"/>
        <v>0.828125</v>
      </c>
      <c r="H234" s="45">
        <f t="shared" si="16"/>
        <v>0.40680666183924691</v>
      </c>
      <c r="I234" s="45">
        <f t="shared" si="14"/>
        <v>0.38271604938271603</v>
      </c>
      <c r="J234" s="45">
        <f t="shared" si="15"/>
        <v>2.409061245653088E-2</v>
      </c>
    </row>
    <row r="235" spans="1:10" x14ac:dyDescent="0.35">
      <c r="A235" s="1">
        <v>2009</v>
      </c>
      <c r="B235" t="s">
        <v>22</v>
      </c>
      <c r="C235">
        <v>75</v>
      </c>
      <c r="D235">
        <v>87</v>
      </c>
      <c r="E235">
        <v>638</v>
      </c>
      <c r="F235">
        <v>769</v>
      </c>
      <c r="G235" s="45">
        <f t="shared" si="13"/>
        <v>0.82964889466840053</v>
      </c>
      <c r="H235" s="45">
        <f t="shared" si="16"/>
        <v>0.4076942723644213</v>
      </c>
      <c r="I235" s="45">
        <f t="shared" si="14"/>
        <v>0.46296296296296297</v>
      </c>
      <c r="J235" s="45">
        <f t="shared" si="15"/>
        <v>5.526869059854167E-2</v>
      </c>
    </row>
    <row r="236" spans="1:10" x14ac:dyDescent="0.35">
      <c r="A236" s="1">
        <v>2009</v>
      </c>
      <c r="B236" t="s">
        <v>23</v>
      </c>
      <c r="C236">
        <v>85</v>
      </c>
      <c r="D236">
        <v>77</v>
      </c>
      <c r="E236">
        <v>640</v>
      </c>
      <c r="F236">
        <v>692</v>
      </c>
      <c r="G236" s="45">
        <f t="shared" si="13"/>
        <v>0.92485549132947975</v>
      </c>
      <c r="H236" s="45">
        <f t="shared" si="16"/>
        <v>0.4610203677357777</v>
      </c>
      <c r="I236" s="45">
        <f t="shared" si="14"/>
        <v>0.52469135802469136</v>
      </c>
      <c r="J236" s="45">
        <f t="shared" si="15"/>
        <v>6.3670990288913654E-2</v>
      </c>
    </row>
    <row r="237" spans="1:10" x14ac:dyDescent="0.35">
      <c r="A237" s="1">
        <v>2009</v>
      </c>
      <c r="B237" t="s">
        <v>24</v>
      </c>
      <c r="C237">
        <v>88</v>
      </c>
      <c r="D237">
        <v>74</v>
      </c>
      <c r="E237">
        <v>657</v>
      </c>
      <c r="F237">
        <v>611</v>
      </c>
      <c r="G237" s="45">
        <f t="shared" si="13"/>
        <v>1.0752864157119477</v>
      </c>
      <c r="H237" s="45">
        <f t="shared" si="16"/>
        <v>0.53622992161198557</v>
      </c>
      <c r="I237" s="45">
        <f t="shared" si="14"/>
        <v>0.54320987654320985</v>
      </c>
      <c r="J237" s="45">
        <f t="shared" si="15"/>
        <v>6.9799549312242748E-3</v>
      </c>
    </row>
    <row r="238" spans="1:10" x14ac:dyDescent="0.35">
      <c r="A238" s="1">
        <v>2009</v>
      </c>
      <c r="B238" t="s">
        <v>25</v>
      </c>
      <c r="C238">
        <v>91</v>
      </c>
      <c r="D238">
        <v>71</v>
      </c>
      <c r="E238">
        <v>730</v>
      </c>
      <c r="F238">
        <v>640</v>
      </c>
      <c r="G238" s="45">
        <f t="shared" si="13"/>
        <v>1.140625</v>
      </c>
      <c r="H238" s="45">
        <f t="shared" si="16"/>
        <v>0.56541114058355435</v>
      </c>
      <c r="I238" s="45">
        <f t="shared" si="14"/>
        <v>0.56172839506172845</v>
      </c>
      <c r="J238" s="45">
        <f t="shared" si="15"/>
        <v>3.6827455218259031E-3</v>
      </c>
    </row>
    <row r="239" spans="1:10" x14ac:dyDescent="0.35">
      <c r="A239" s="1">
        <v>2009</v>
      </c>
      <c r="B239" t="s">
        <v>26</v>
      </c>
      <c r="C239">
        <v>84</v>
      </c>
      <c r="D239">
        <v>78</v>
      </c>
      <c r="E239">
        <v>803</v>
      </c>
      <c r="F239">
        <v>754</v>
      </c>
      <c r="G239" s="45">
        <f t="shared" si="13"/>
        <v>1.0649867374005304</v>
      </c>
      <c r="H239" s="45">
        <f t="shared" si="16"/>
        <v>0.53143963900850966</v>
      </c>
      <c r="I239" s="45">
        <f t="shared" si="14"/>
        <v>0.51851851851851849</v>
      </c>
      <c r="J239" s="45">
        <f t="shared" si="15"/>
        <v>1.2921120489991167E-2</v>
      </c>
    </row>
    <row r="240" spans="1:10" x14ac:dyDescent="0.35">
      <c r="A240" s="1">
        <v>2009</v>
      </c>
      <c r="B240" t="s">
        <v>27</v>
      </c>
      <c r="C240">
        <v>87</v>
      </c>
      <c r="D240">
        <v>75</v>
      </c>
      <c r="E240">
        <v>784</v>
      </c>
      <c r="F240">
        <v>740</v>
      </c>
      <c r="G240" s="45">
        <f t="shared" si="13"/>
        <v>1.0594594594594595</v>
      </c>
      <c r="H240" s="45">
        <f t="shared" si="16"/>
        <v>0.52884734516319998</v>
      </c>
      <c r="I240" s="45">
        <f t="shared" si="14"/>
        <v>0.53703703703703709</v>
      </c>
      <c r="J240" s="45">
        <f t="shared" si="15"/>
        <v>8.1896918738371127E-3</v>
      </c>
    </row>
    <row r="241" spans="1:10" x14ac:dyDescent="0.35">
      <c r="A241" s="1">
        <v>2009</v>
      </c>
      <c r="B241" t="s">
        <v>28</v>
      </c>
      <c r="C241">
        <v>75</v>
      </c>
      <c r="D241">
        <v>87</v>
      </c>
      <c r="E241">
        <v>798</v>
      </c>
      <c r="F241">
        <v>771</v>
      </c>
      <c r="G241" s="45">
        <f t="shared" si="13"/>
        <v>1.0350194552529184</v>
      </c>
      <c r="H241" s="45">
        <f t="shared" si="16"/>
        <v>0.51720331859215674</v>
      </c>
      <c r="I241" s="45">
        <f t="shared" si="14"/>
        <v>0.46296296296296297</v>
      </c>
      <c r="J241" s="45">
        <f t="shared" si="15"/>
        <v>5.4240355629193771E-2</v>
      </c>
    </row>
    <row r="242" spans="1:10" x14ac:dyDescent="0.35">
      <c r="A242" s="1">
        <v>2009</v>
      </c>
      <c r="B242" t="s">
        <v>29</v>
      </c>
      <c r="C242">
        <v>59</v>
      </c>
      <c r="D242">
        <v>103</v>
      </c>
      <c r="E242">
        <v>710</v>
      </c>
      <c r="F242">
        <v>874</v>
      </c>
      <c r="G242" s="45">
        <f t="shared" si="13"/>
        <v>0.81235697940503437</v>
      </c>
      <c r="H242" s="45">
        <f t="shared" si="16"/>
        <v>0.3975627298939412</v>
      </c>
      <c r="I242" s="45">
        <f t="shared" si="14"/>
        <v>0.36419753086419754</v>
      </c>
      <c r="J242" s="45">
        <f t="shared" si="15"/>
        <v>3.3365199029743664E-2</v>
      </c>
    </row>
    <row r="243" spans="1:10" x14ac:dyDescent="0.35">
      <c r="A243" s="1">
        <v>2008</v>
      </c>
      <c r="B243" t="s">
        <v>0</v>
      </c>
      <c r="C243">
        <v>82</v>
      </c>
      <c r="D243">
        <v>80</v>
      </c>
      <c r="E243">
        <v>720</v>
      </c>
      <c r="F243">
        <v>706</v>
      </c>
      <c r="G243" s="45">
        <f t="shared" si="13"/>
        <v>1.0198300283286119</v>
      </c>
      <c r="H243" s="45">
        <f t="shared" si="16"/>
        <v>0.50981672560766933</v>
      </c>
      <c r="I243" s="45">
        <f t="shared" si="14"/>
        <v>0.50617283950617287</v>
      </c>
      <c r="J243" s="45">
        <f t="shared" si="15"/>
        <v>3.643886101496463E-3</v>
      </c>
    </row>
    <row r="244" spans="1:10" x14ac:dyDescent="0.35">
      <c r="A244" s="1">
        <v>2008</v>
      </c>
      <c r="B244" t="s">
        <v>1</v>
      </c>
      <c r="C244">
        <v>72</v>
      </c>
      <c r="D244">
        <v>90</v>
      </c>
      <c r="E244">
        <v>753</v>
      </c>
      <c r="F244">
        <v>778</v>
      </c>
      <c r="G244" s="45">
        <f t="shared" si="13"/>
        <v>0.96786632390745497</v>
      </c>
      <c r="H244" s="45">
        <f t="shared" si="16"/>
        <v>0.48367515629625019</v>
      </c>
      <c r="I244" s="45">
        <f t="shared" si="14"/>
        <v>0.44444444444444442</v>
      </c>
      <c r="J244" s="45">
        <f t="shared" si="15"/>
        <v>3.9230711851805766E-2</v>
      </c>
    </row>
    <row r="245" spans="1:10" x14ac:dyDescent="0.35">
      <c r="A245" s="1">
        <v>2008</v>
      </c>
      <c r="B245" t="s">
        <v>2</v>
      </c>
      <c r="C245">
        <v>68</v>
      </c>
      <c r="D245">
        <v>93</v>
      </c>
      <c r="E245">
        <v>782</v>
      </c>
      <c r="F245">
        <v>869</v>
      </c>
      <c r="G245" s="45">
        <f t="shared" si="13"/>
        <v>0.89988492520138086</v>
      </c>
      <c r="H245" s="45">
        <f t="shared" si="16"/>
        <v>0.44745058297998441</v>
      </c>
      <c r="I245" s="45">
        <f t="shared" si="14"/>
        <v>0.41975308641975306</v>
      </c>
      <c r="J245" s="45">
        <f t="shared" si="15"/>
        <v>2.7697496560231349E-2</v>
      </c>
    </row>
    <row r="246" spans="1:10" x14ac:dyDescent="0.35">
      <c r="A246" s="1">
        <v>2008</v>
      </c>
      <c r="B246" t="s">
        <v>3</v>
      </c>
      <c r="C246">
        <v>95</v>
      </c>
      <c r="D246">
        <v>67</v>
      </c>
      <c r="E246">
        <v>845</v>
      </c>
      <c r="F246">
        <v>694</v>
      </c>
      <c r="G246" s="45">
        <f t="shared" si="13"/>
        <v>1.217579250720461</v>
      </c>
      <c r="H246" s="45">
        <f t="shared" si="16"/>
        <v>0.59718013717935103</v>
      </c>
      <c r="I246" s="45">
        <f t="shared" si="14"/>
        <v>0.5864197530864198</v>
      </c>
      <c r="J246" s="45">
        <f t="shared" si="15"/>
        <v>1.076038409293123E-2</v>
      </c>
    </row>
    <row r="247" spans="1:10" x14ac:dyDescent="0.35">
      <c r="A247" s="1">
        <v>2008</v>
      </c>
      <c r="B247" t="s">
        <v>4</v>
      </c>
      <c r="C247">
        <v>97</v>
      </c>
      <c r="D247">
        <v>64</v>
      </c>
      <c r="E247">
        <v>855</v>
      </c>
      <c r="F247">
        <v>671</v>
      </c>
      <c r="G247" s="45">
        <f t="shared" si="13"/>
        <v>1.2742175856929956</v>
      </c>
      <c r="H247" s="45">
        <f t="shared" si="16"/>
        <v>0.61884876056705262</v>
      </c>
      <c r="I247" s="45">
        <f t="shared" si="14"/>
        <v>0.59876543209876543</v>
      </c>
      <c r="J247" s="45">
        <f t="shared" si="15"/>
        <v>2.0083328468287198E-2</v>
      </c>
    </row>
    <row r="248" spans="1:10" x14ac:dyDescent="0.35">
      <c r="A248" s="1">
        <v>2008</v>
      </c>
      <c r="B248" t="s">
        <v>5</v>
      </c>
      <c r="C248">
        <v>89</v>
      </c>
      <c r="D248">
        <v>74</v>
      </c>
      <c r="E248">
        <v>811</v>
      </c>
      <c r="F248">
        <v>729</v>
      </c>
      <c r="G248" s="45">
        <f t="shared" si="13"/>
        <v>1.112482853223594</v>
      </c>
      <c r="H248" s="45">
        <f t="shared" si="16"/>
        <v>0.55309621397252862</v>
      </c>
      <c r="I248" s="45">
        <f t="shared" si="14"/>
        <v>0.54938271604938271</v>
      </c>
      <c r="J248" s="45">
        <f t="shared" si="15"/>
        <v>3.7134979231459031E-3</v>
      </c>
    </row>
    <row r="249" spans="1:10" x14ac:dyDescent="0.35">
      <c r="A249" s="1">
        <v>2008</v>
      </c>
      <c r="B249" t="s">
        <v>6</v>
      </c>
      <c r="C249">
        <v>74</v>
      </c>
      <c r="D249">
        <v>88</v>
      </c>
      <c r="E249">
        <v>704</v>
      </c>
      <c r="F249">
        <v>800</v>
      </c>
      <c r="G249" s="45">
        <f t="shared" si="13"/>
        <v>0.88</v>
      </c>
      <c r="H249" s="45">
        <f t="shared" si="16"/>
        <v>0.436429215509468</v>
      </c>
      <c r="I249" s="45">
        <f t="shared" si="14"/>
        <v>0.4567901234567901</v>
      </c>
      <c r="J249" s="45">
        <f t="shared" si="15"/>
        <v>2.0360907947322093E-2</v>
      </c>
    </row>
    <row r="250" spans="1:10" x14ac:dyDescent="0.35">
      <c r="A250" s="1">
        <v>2008</v>
      </c>
      <c r="B250" t="s">
        <v>7</v>
      </c>
      <c r="C250">
        <v>81</v>
      </c>
      <c r="D250">
        <v>81</v>
      </c>
      <c r="E250">
        <v>805</v>
      </c>
      <c r="F250">
        <v>761</v>
      </c>
      <c r="G250" s="45">
        <f t="shared" si="13"/>
        <v>1.0578186596583443</v>
      </c>
      <c r="H250" s="45">
        <f t="shared" si="16"/>
        <v>0.52807489899327387</v>
      </c>
      <c r="I250" s="45">
        <f t="shared" si="14"/>
        <v>0.5</v>
      </c>
      <c r="J250" s="45">
        <f t="shared" si="15"/>
        <v>2.8074898993273867E-2</v>
      </c>
    </row>
    <row r="251" spans="1:10" x14ac:dyDescent="0.35">
      <c r="A251" s="1">
        <v>2008</v>
      </c>
      <c r="B251" t="s">
        <v>8</v>
      </c>
      <c r="C251">
        <v>74</v>
      </c>
      <c r="D251">
        <v>88</v>
      </c>
      <c r="E251">
        <v>747</v>
      </c>
      <c r="F251">
        <v>822</v>
      </c>
      <c r="G251" s="45">
        <f t="shared" si="13"/>
        <v>0.90875912408759119</v>
      </c>
      <c r="H251" s="45">
        <f t="shared" si="16"/>
        <v>0.4523078269877514</v>
      </c>
      <c r="I251" s="45">
        <f t="shared" si="14"/>
        <v>0.4567901234567901</v>
      </c>
      <c r="J251" s="45">
        <f t="shared" si="15"/>
        <v>4.4822964690386935E-3</v>
      </c>
    </row>
    <row r="252" spans="1:10" x14ac:dyDescent="0.35">
      <c r="A252" s="1">
        <v>2008</v>
      </c>
      <c r="B252" t="s">
        <v>9</v>
      </c>
      <c r="C252">
        <v>74</v>
      </c>
      <c r="D252">
        <v>88</v>
      </c>
      <c r="E252">
        <v>821</v>
      </c>
      <c r="F252">
        <v>857</v>
      </c>
      <c r="G252" s="45">
        <f t="shared" si="13"/>
        <v>0.95799299883313882</v>
      </c>
      <c r="H252" s="45">
        <f t="shared" si="16"/>
        <v>0.4785557582943436</v>
      </c>
      <c r="I252" s="45">
        <f t="shared" si="14"/>
        <v>0.4567901234567901</v>
      </c>
      <c r="J252" s="45">
        <f t="shared" si="15"/>
        <v>2.1765634837553505E-2</v>
      </c>
    </row>
    <row r="253" spans="1:10" x14ac:dyDescent="0.35">
      <c r="A253" s="1">
        <v>2008</v>
      </c>
      <c r="B253" t="s">
        <v>43</v>
      </c>
      <c r="C253">
        <v>84</v>
      </c>
      <c r="D253">
        <v>77</v>
      </c>
      <c r="E253">
        <v>770</v>
      </c>
      <c r="F253">
        <v>767</v>
      </c>
      <c r="G253" s="45">
        <f t="shared" si="13"/>
        <v>1.0039113428943938</v>
      </c>
      <c r="H253" s="45">
        <f t="shared" si="16"/>
        <v>0.50195184682552918</v>
      </c>
      <c r="I253" s="45">
        <f t="shared" si="14"/>
        <v>0.51851851851851849</v>
      </c>
      <c r="J253" s="45">
        <f t="shared" si="15"/>
        <v>1.656667169298931E-2</v>
      </c>
    </row>
    <row r="254" spans="1:10" x14ac:dyDescent="0.35">
      <c r="A254" s="1">
        <v>2008</v>
      </c>
      <c r="B254" t="s">
        <v>10</v>
      </c>
      <c r="C254">
        <v>86</v>
      </c>
      <c r="D254">
        <v>75</v>
      </c>
      <c r="E254">
        <v>712</v>
      </c>
      <c r="F254">
        <v>743</v>
      </c>
      <c r="G254" s="45">
        <f t="shared" si="13"/>
        <v>0.95827725437415878</v>
      </c>
      <c r="H254" s="45">
        <f t="shared" si="16"/>
        <v>0.4787038252377494</v>
      </c>
      <c r="I254" s="45">
        <f t="shared" si="14"/>
        <v>0.53086419753086422</v>
      </c>
      <c r="J254" s="45">
        <f t="shared" si="15"/>
        <v>5.2160372293114821E-2</v>
      </c>
    </row>
    <row r="255" spans="1:10" x14ac:dyDescent="0.35">
      <c r="A255" s="1">
        <v>2008</v>
      </c>
      <c r="B255" t="s">
        <v>11</v>
      </c>
      <c r="C255">
        <v>75</v>
      </c>
      <c r="D255">
        <v>87</v>
      </c>
      <c r="E255">
        <v>691</v>
      </c>
      <c r="F255">
        <v>781</v>
      </c>
      <c r="G255" s="45">
        <f t="shared" si="13"/>
        <v>0.8847631241997439</v>
      </c>
      <c r="H255" s="45">
        <f t="shared" si="16"/>
        <v>0.4390864064474243</v>
      </c>
      <c r="I255" s="45">
        <f t="shared" si="14"/>
        <v>0.46296296296296297</v>
      </c>
      <c r="J255" s="45">
        <f t="shared" si="15"/>
        <v>2.3876556515538661E-2</v>
      </c>
    </row>
    <row r="256" spans="1:10" x14ac:dyDescent="0.35">
      <c r="A256" s="1">
        <v>2008</v>
      </c>
      <c r="B256" t="s">
        <v>12</v>
      </c>
      <c r="C256">
        <v>100</v>
      </c>
      <c r="D256">
        <v>62</v>
      </c>
      <c r="E256">
        <v>765</v>
      </c>
      <c r="F256">
        <v>697</v>
      </c>
      <c r="G256" s="45">
        <f t="shared" si="13"/>
        <v>1.0975609756097562</v>
      </c>
      <c r="H256" s="45">
        <f t="shared" si="16"/>
        <v>0.5464112250404749</v>
      </c>
      <c r="I256" s="45">
        <f t="shared" si="14"/>
        <v>0.61728395061728392</v>
      </c>
      <c r="J256" s="45">
        <f t="shared" si="15"/>
        <v>7.0872725576809015E-2</v>
      </c>
    </row>
    <row r="257" spans="1:10" x14ac:dyDescent="0.35">
      <c r="A257" s="1">
        <v>2008</v>
      </c>
      <c r="B257" t="s">
        <v>13</v>
      </c>
      <c r="C257">
        <v>84</v>
      </c>
      <c r="D257">
        <v>78</v>
      </c>
      <c r="E257">
        <v>700</v>
      </c>
      <c r="F257">
        <v>648</v>
      </c>
      <c r="G257" s="45">
        <f t="shared" si="13"/>
        <v>1.0802469135802468</v>
      </c>
      <c r="H257" s="45">
        <f t="shared" si="16"/>
        <v>0.53851834918848573</v>
      </c>
      <c r="I257" s="45">
        <f t="shared" si="14"/>
        <v>0.51851851851851849</v>
      </c>
      <c r="J257" s="45">
        <f t="shared" si="15"/>
        <v>1.9999830669967245E-2</v>
      </c>
    </row>
    <row r="258" spans="1:10" x14ac:dyDescent="0.35">
      <c r="A258" s="1">
        <v>2008</v>
      </c>
      <c r="B258" t="s">
        <v>15</v>
      </c>
      <c r="C258">
        <v>90</v>
      </c>
      <c r="D258">
        <v>72</v>
      </c>
      <c r="E258">
        <v>750</v>
      </c>
      <c r="F258">
        <v>689</v>
      </c>
      <c r="G258" s="45">
        <f t="shared" si="13"/>
        <v>1.0885341074020318</v>
      </c>
      <c r="H258" s="45">
        <f t="shared" si="16"/>
        <v>0.54231451156503763</v>
      </c>
      <c r="I258" s="45">
        <f t="shared" si="14"/>
        <v>0.55555555555555558</v>
      </c>
      <c r="J258" s="45">
        <f t="shared" si="15"/>
        <v>1.3241043990517953E-2</v>
      </c>
    </row>
    <row r="259" spans="1:10" x14ac:dyDescent="0.35">
      <c r="A259" s="1">
        <v>2008</v>
      </c>
      <c r="B259" t="s">
        <v>16</v>
      </c>
      <c r="C259">
        <v>88</v>
      </c>
      <c r="D259">
        <v>75</v>
      </c>
      <c r="E259">
        <v>829</v>
      </c>
      <c r="F259">
        <v>745</v>
      </c>
      <c r="G259" s="45">
        <f t="shared" ref="G259:G322" si="17">E259/F259</f>
        <v>1.112751677852349</v>
      </c>
      <c r="H259" s="45">
        <f t="shared" si="16"/>
        <v>0.5532156559062229</v>
      </c>
      <c r="I259" s="45">
        <f t="shared" ref="I259:I322" si="18">C259/162</f>
        <v>0.54320987654320985</v>
      </c>
      <c r="J259" s="45">
        <f t="shared" ref="J259:J322" si="19">ABS(H259-I259)</f>
        <v>1.0005779363013056E-2</v>
      </c>
    </row>
    <row r="260" spans="1:10" x14ac:dyDescent="0.35">
      <c r="A260" s="1">
        <v>2008</v>
      </c>
      <c r="B260" t="s">
        <v>17</v>
      </c>
      <c r="C260">
        <v>89</v>
      </c>
      <c r="D260">
        <v>73</v>
      </c>
      <c r="E260">
        <v>799</v>
      </c>
      <c r="F260">
        <v>715</v>
      </c>
      <c r="G260" s="45">
        <f t="shared" si="17"/>
        <v>1.1174825174825176</v>
      </c>
      <c r="H260" s="45">
        <f t="shared" si="16"/>
        <v>0.55531190143577136</v>
      </c>
      <c r="I260" s="45">
        <f t="shared" si="18"/>
        <v>0.54938271604938271</v>
      </c>
      <c r="J260" s="45">
        <f t="shared" si="19"/>
        <v>5.9291853863886468E-3</v>
      </c>
    </row>
    <row r="261" spans="1:10" x14ac:dyDescent="0.35">
      <c r="A261" s="1">
        <v>2008</v>
      </c>
      <c r="B261" t="s">
        <v>18</v>
      </c>
      <c r="C261">
        <v>89</v>
      </c>
      <c r="D261">
        <v>73</v>
      </c>
      <c r="E261">
        <v>789</v>
      </c>
      <c r="F261">
        <v>727</v>
      </c>
      <c r="G261" s="45">
        <f t="shared" si="17"/>
        <v>1.0852819807427785</v>
      </c>
      <c r="H261" s="45">
        <f t="shared" si="16"/>
        <v>0.54082880847921466</v>
      </c>
      <c r="I261" s="45">
        <f t="shared" si="18"/>
        <v>0.54938271604938271</v>
      </c>
      <c r="J261" s="45">
        <f t="shared" si="19"/>
        <v>8.5539075701680511E-3</v>
      </c>
    </row>
    <row r="262" spans="1:10" x14ac:dyDescent="0.35">
      <c r="A262" s="1">
        <v>2008</v>
      </c>
      <c r="B262" t="s">
        <v>19</v>
      </c>
      <c r="C262">
        <v>75</v>
      </c>
      <c r="D262">
        <v>86</v>
      </c>
      <c r="E262">
        <v>646</v>
      </c>
      <c r="F262">
        <v>690</v>
      </c>
      <c r="G262" s="45">
        <f t="shared" si="17"/>
        <v>0.93623188405797098</v>
      </c>
      <c r="H262" s="45">
        <f t="shared" si="16"/>
        <v>0.46710155179669932</v>
      </c>
      <c r="I262" s="45">
        <f t="shared" si="18"/>
        <v>0.46296296296296297</v>
      </c>
      <c r="J262" s="45">
        <f t="shared" si="19"/>
        <v>4.1385888337363563E-3</v>
      </c>
    </row>
    <row r="263" spans="1:10" x14ac:dyDescent="0.35">
      <c r="A263" s="1">
        <v>2008</v>
      </c>
      <c r="B263" t="s">
        <v>20</v>
      </c>
      <c r="C263">
        <v>92</v>
      </c>
      <c r="D263">
        <v>70</v>
      </c>
      <c r="E263">
        <v>799</v>
      </c>
      <c r="F263">
        <v>680</v>
      </c>
      <c r="G263" s="45">
        <f t="shared" si="17"/>
        <v>1.175</v>
      </c>
      <c r="H263" s="45">
        <f t="shared" si="16"/>
        <v>0.57994224205828304</v>
      </c>
      <c r="I263" s="45">
        <f t="shared" si="18"/>
        <v>0.5679012345679012</v>
      </c>
      <c r="J263" s="45">
        <f t="shared" si="19"/>
        <v>1.2041007490381839E-2</v>
      </c>
    </row>
    <row r="264" spans="1:10" x14ac:dyDescent="0.35">
      <c r="A264" s="1">
        <v>2008</v>
      </c>
      <c r="B264" t="s">
        <v>21</v>
      </c>
      <c r="C264">
        <v>67</v>
      </c>
      <c r="D264">
        <v>95</v>
      </c>
      <c r="E264">
        <v>735</v>
      </c>
      <c r="F264">
        <v>884</v>
      </c>
      <c r="G264" s="45">
        <f t="shared" si="17"/>
        <v>0.83144796380090502</v>
      </c>
      <c r="H264" s="45">
        <f t="shared" si="16"/>
        <v>0.4087408383717403</v>
      </c>
      <c r="I264" s="45">
        <f t="shared" si="18"/>
        <v>0.41358024691358025</v>
      </c>
      <c r="J264" s="45">
        <f t="shared" si="19"/>
        <v>4.8394085418399513E-3</v>
      </c>
    </row>
    <row r="265" spans="1:10" x14ac:dyDescent="0.35">
      <c r="A265" s="1">
        <v>2008</v>
      </c>
      <c r="B265" t="s">
        <v>22</v>
      </c>
      <c r="C265">
        <v>63</v>
      </c>
      <c r="D265">
        <v>99</v>
      </c>
      <c r="E265">
        <v>637</v>
      </c>
      <c r="F265">
        <v>764</v>
      </c>
      <c r="G265" s="45">
        <f t="shared" si="17"/>
        <v>0.83376963350785338</v>
      </c>
      <c r="H265" s="45">
        <f t="shared" si="16"/>
        <v>0.41008929067728522</v>
      </c>
      <c r="I265" s="45">
        <f t="shared" si="18"/>
        <v>0.3888888888888889</v>
      </c>
      <c r="J265" s="45">
        <f t="shared" si="19"/>
        <v>2.1200401788396328E-2</v>
      </c>
    </row>
    <row r="266" spans="1:10" x14ac:dyDescent="0.35">
      <c r="A266" s="1">
        <v>2008</v>
      </c>
      <c r="B266" t="s">
        <v>23</v>
      </c>
      <c r="C266">
        <v>61</v>
      </c>
      <c r="D266">
        <v>101</v>
      </c>
      <c r="E266">
        <v>671</v>
      </c>
      <c r="F266">
        <v>811</v>
      </c>
      <c r="G266" s="45">
        <f t="shared" si="17"/>
        <v>0.8273736128236745</v>
      </c>
      <c r="H266" s="45">
        <f t="shared" si="16"/>
        <v>0.40636862997106404</v>
      </c>
      <c r="I266" s="45">
        <f t="shared" si="18"/>
        <v>0.37654320987654322</v>
      </c>
      <c r="J266" s="45">
        <f t="shared" si="19"/>
        <v>2.9825420094520827E-2</v>
      </c>
    </row>
    <row r="267" spans="1:10" x14ac:dyDescent="0.35">
      <c r="A267" s="1">
        <v>2008</v>
      </c>
      <c r="B267" t="s">
        <v>24</v>
      </c>
      <c r="C267">
        <v>72</v>
      </c>
      <c r="D267">
        <v>90</v>
      </c>
      <c r="E267">
        <v>640</v>
      </c>
      <c r="F267">
        <v>759</v>
      </c>
      <c r="G267" s="45">
        <f t="shared" si="17"/>
        <v>0.8432147562582345</v>
      </c>
      <c r="H267" s="45">
        <f t="shared" si="16"/>
        <v>0.41555026423356034</v>
      </c>
      <c r="I267" s="45">
        <f t="shared" si="18"/>
        <v>0.44444444444444442</v>
      </c>
      <c r="J267" s="45">
        <f t="shared" si="19"/>
        <v>2.889418021088408E-2</v>
      </c>
    </row>
    <row r="268" spans="1:10" x14ac:dyDescent="0.35">
      <c r="A268" s="1">
        <v>2008</v>
      </c>
      <c r="B268" t="s">
        <v>25</v>
      </c>
      <c r="C268">
        <v>86</v>
      </c>
      <c r="D268">
        <v>76</v>
      </c>
      <c r="E268">
        <v>779</v>
      </c>
      <c r="F268">
        <v>725</v>
      </c>
      <c r="G268" s="45">
        <f t="shared" si="17"/>
        <v>1.0744827586206898</v>
      </c>
      <c r="H268" s="45">
        <f t="shared" si="16"/>
        <v>0.53585803017485734</v>
      </c>
      <c r="I268" s="45">
        <f t="shared" si="18"/>
        <v>0.53086419753086422</v>
      </c>
      <c r="J268" s="45">
        <f t="shared" si="19"/>
        <v>4.9938326439931124E-3</v>
      </c>
    </row>
    <row r="269" spans="1:10" x14ac:dyDescent="0.35">
      <c r="A269" s="1">
        <v>2008</v>
      </c>
      <c r="B269" t="s">
        <v>26</v>
      </c>
      <c r="C269">
        <v>97</v>
      </c>
      <c r="D269">
        <v>65</v>
      </c>
      <c r="E269">
        <v>774</v>
      </c>
      <c r="F269">
        <v>671</v>
      </c>
      <c r="G269" s="45">
        <f t="shared" si="17"/>
        <v>1.1535022354694486</v>
      </c>
      <c r="H269" s="45">
        <f t="shared" si="16"/>
        <v>0.57091994125702716</v>
      </c>
      <c r="I269" s="45">
        <f t="shared" si="18"/>
        <v>0.59876543209876543</v>
      </c>
      <c r="J269" s="45">
        <f t="shared" si="19"/>
        <v>2.7845490841738263E-2</v>
      </c>
    </row>
    <row r="270" spans="1:10" x14ac:dyDescent="0.35">
      <c r="A270" s="1">
        <v>2008</v>
      </c>
      <c r="B270" t="s">
        <v>27</v>
      </c>
      <c r="C270">
        <v>79</v>
      </c>
      <c r="D270">
        <v>83</v>
      </c>
      <c r="E270">
        <v>901</v>
      </c>
      <c r="F270">
        <v>967</v>
      </c>
      <c r="G270" s="45">
        <f t="shared" si="17"/>
        <v>0.93174767321613239</v>
      </c>
      <c r="H270" s="45">
        <f t="shared" si="16"/>
        <v>0.46471214558443863</v>
      </c>
      <c r="I270" s="45">
        <f t="shared" si="18"/>
        <v>0.48765432098765432</v>
      </c>
      <c r="J270" s="45">
        <f t="shared" si="19"/>
        <v>2.2942175403215692E-2</v>
      </c>
    </row>
    <row r="271" spans="1:10" x14ac:dyDescent="0.35">
      <c r="A271" s="1">
        <v>2008</v>
      </c>
      <c r="B271" t="s">
        <v>28</v>
      </c>
      <c r="C271">
        <v>86</v>
      </c>
      <c r="D271">
        <v>76</v>
      </c>
      <c r="E271">
        <v>714</v>
      </c>
      <c r="F271">
        <v>610</v>
      </c>
      <c r="G271" s="45">
        <f t="shared" si="17"/>
        <v>1.1704918032786886</v>
      </c>
      <c r="H271" s="45">
        <f t="shared" si="16"/>
        <v>0.57806816223228141</v>
      </c>
      <c r="I271" s="45">
        <f t="shared" si="18"/>
        <v>0.53086419753086422</v>
      </c>
      <c r="J271" s="45">
        <f t="shared" si="19"/>
        <v>4.7203964701417189E-2</v>
      </c>
    </row>
    <row r="272" spans="1:10" x14ac:dyDescent="0.35">
      <c r="A272" s="1">
        <v>2008</v>
      </c>
      <c r="B272" t="s">
        <v>29</v>
      </c>
      <c r="C272">
        <v>59</v>
      </c>
      <c r="D272">
        <v>102</v>
      </c>
      <c r="E272">
        <v>641</v>
      </c>
      <c r="F272">
        <v>825</v>
      </c>
      <c r="G272" s="45">
        <f t="shared" si="17"/>
        <v>0.77696969696969698</v>
      </c>
      <c r="H272" s="45">
        <f t="shared" si="16"/>
        <v>0.37643494401313415</v>
      </c>
      <c r="I272" s="45">
        <f t="shared" si="18"/>
        <v>0.36419753086419754</v>
      </c>
      <c r="J272" s="45">
        <f t="shared" si="19"/>
        <v>1.2237413148936616E-2</v>
      </c>
    </row>
    <row r="273" spans="1:10" x14ac:dyDescent="0.35">
      <c r="A273" s="1">
        <v>2007</v>
      </c>
      <c r="B273" t="s">
        <v>0</v>
      </c>
      <c r="C273">
        <v>90</v>
      </c>
      <c r="D273">
        <v>72</v>
      </c>
      <c r="E273">
        <v>712</v>
      </c>
      <c r="F273">
        <v>732</v>
      </c>
      <c r="G273" s="45">
        <f t="shared" si="17"/>
        <v>0.97267759562841527</v>
      </c>
      <c r="H273" s="45">
        <f t="shared" si="16"/>
        <v>0.4861522409586792</v>
      </c>
      <c r="I273" s="45">
        <f t="shared" si="18"/>
        <v>0.55555555555555558</v>
      </c>
      <c r="J273" s="45">
        <f t="shared" si="19"/>
        <v>6.9403314596876375E-2</v>
      </c>
    </row>
    <row r="274" spans="1:10" x14ac:dyDescent="0.35">
      <c r="A274" s="1">
        <v>2007</v>
      </c>
      <c r="B274" t="s">
        <v>1</v>
      </c>
      <c r="C274">
        <v>84</v>
      </c>
      <c r="D274">
        <v>78</v>
      </c>
      <c r="E274">
        <v>810</v>
      </c>
      <c r="F274">
        <v>733</v>
      </c>
      <c r="G274" s="45">
        <f t="shared" si="17"/>
        <v>1.1050477489768076</v>
      </c>
      <c r="H274" s="45">
        <f t="shared" si="16"/>
        <v>0.54977882316662885</v>
      </c>
      <c r="I274" s="45">
        <f t="shared" si="18"/>
        <v>0.51851851851851849</v>
      </c>
      <c r="J274" s="45">
        <f t="shared" si="19"/>
        <v>3.126030464811036E-2</v>
      </c>
    </row>
    <row r="275" spans="1:10" x14ac:dyDescent="0.35">
      <c r="A275" s="1">
        <v>2007</v>
      </c>
      <c r="B275" t="s">
        <v>2</v>
      </c>
      <c r="C275">
        <v>69</v>
      </c>
      <c r="D275">
        <v>93</v>
      </c>
      <c r="E275">
        <v>756</v>
      </c>
      <c r="F275">
        <v>868</v>
      </c>
      <c r="G275" s="45">
        <f t="shared" si="17"/>
        <v>0.87096774193548387</v>
      </c>
      <c r="H275" s="45">
        <f t="shared" si="16"/>
        <v>0.43136094674556208</v>
      </c>
      <c r="I275" s="45">
        <f t="shared" si="18"/>
        <v>0.42592592592592593</v>
      </c>
      <c r="J275" s="45">
        <f t="shared" si="19"/>
        <v>5.4350208196361494E-3</v>
      </c>
    </row>
    <row r="276" spans="1:10" x14ac:dyDescent="0.35">
      <c r="A276" s="1">
        <v>2007</v>
      </c>
      <c r="B276" t="s">
        <v>3</v>
      </c>
      <c r="C276">
        <v>96</v>
      </c>
      <c r="D276">
        <v>66</v>
      </c>
      <c r="E276">
        <v>867</v>
      </c>
      <c r="F276">
        <v>657</v>
      </c>
      <c r="G276" s="45">
        <f t="shared" si="17"/>
        <v>1.3196347031963471</v>
      </c>
      <c r="H276" s="45">
        <f t="shared" si="16"/>
        <v>0.63522763572200003</v>
      </c>
      <c r="I276" s="45">
        <f t="shared" si="18"/>
        <v>0.59259259259259256</v>
      </c>
      <c r="J276" s="45">
        <f t="shared" si="19"/>
        <v>4.2635043129407468E-2</v>
      </c>
    </row>
    <row r="277" spans="1:10" x14ac:dyDescent="0.35">
      <c r="A277" s="1">
        <v>2007</v>
      </c>
      <c r="B277" t="s">
        <v>4</v>
      </c>
      <c r="C277">
        <v>85</v>
      </c>
      <c r="D277">
        <v>77</v>
      </c>
      <c r="E277">
        <v>752</v>
      </c>
      <c r="F277">
        <v>690</v>
      </c>
      <c r="G277" s="45">
        <f t="shared" si="17"/>
        <v>1.0898550724637681</v>
      </c>
      <c r="H277" s="45">
        <f t="shared" si="16"/>
        <v>0.54291650185675178</v>
      </c>
      <c r="I277" s="45">
        <f t="shared" si="18"/>
        <v>0.52469135802469136</v>
      </c>
      <c r="J277" s="45">
        <f t="shared" si="19"/>
        <v>1.822514383206042E-2</v>
      </c>
    </row>
    <row r="278" spans="1:10" x14ac:dyDescent="0.35">
      <c r="A278" s="1">
        <v>2007</v>
      </c>
      <c r="B278" t="s">
        <v>5</v>
      </c>
      <c r="C278">
        <v>72</v>
      </c>
      <c r="D278">
        <v>90</v>
      </c>
      <c r="E278">
        <v>693</v>
      </c>
      <c r="F278">
        <v>839</v>
      </c>
      <c r="G278" s="45">
        <f t="shared" si="17"/>
        <v>0.8259833134684148</v>
      </c>
      <c r="H278" s="45">
        <f t="shared" si="16"/>
        <v>0.40555747907817291</v>
      </c>
      <c r="I278" s="45">
        <f t="shared" si="18"/>
        <v>0.44444444444444442</v>
      </c>
      <c r="J278" s="45">
        <f t="shared" si="19"/>
        <v>3.8886965366271509E-2</v>
      </c>
    </row>
    <row r="279" spans="1:10" x14ac:dyDescent="0.35">
      <c r="A279" s="1">
        <v>2007</v>
      </c>
      <c r="B279" t="s">
        <v>6</v>
      </c>
      <c r="C279">
        <v>72</v>
      </c>
      <c r="D279">
        <v>90</v>
      </c>
      <c r="E279">
        <v>783</v>
      </c>
      <c r="F279">
        <v>853</v>
      </c>
      <c r="G279" s="45">
        <f t="shared" si="17"/>
        <v>0.91793669402110201</v>
      </c>
      <c r="H279" s="45">
        <f t="shared" si="16"/>
        <v>0.45729090369344927</v>
      </c>
      <c r="I279" s="45">
        <f t="shared" si="18"/>
        <v>0.44444444444444442</v>
      </c>
      <c r="J279" s="45">
        <f t="shared" si="19"/>
        <v>1.2846459249004849E-2</v>
      </c>
    </row>
    <row r="280" spans="1:10" x14ac:dyDescent="0.35">
      <c r="A280" s="1">
        <v>2007</v>
      </c>
      <c r="B280" t="s">
        <v>7</v>
      </c>
      <c r="C280">
        <v>96</v>
      </c>
      <c r="D280">
        <v>66</v>
      </c>
      <c r="E280">
        <v>811</v>
      </c>
      <c r="F280">
        <v>704</v>
      </c>
      <c r="G280" s="45">
        <f t="shared" si="17"/>
        <v>1.1519886363636365</v>
      </c>
      <c r="H280" s="45">
        <f t="shared" si="16"/>
        <v>0.57027651068161345</v>
      </c>
      <c r="I280" s="45">
        <f t="shared" si="18"/>
        <v>0.59259259259259256</v>
      </c>
      <c r="J280" s="45">
        <f t="shared" si="19"/>
        <v>2.2316081910979113E-2</v>
      </c>
    </row>
    <row r="281" spans="1:10" x14ac:dyDescent="0.35">
      <c r="A281" s="1">
        <v>2007</v>
      </c>
      <c r="B281" t="s">
        <v>8</v>
      </c>
      <c r="C281">
        <v>90</v>
      </c>
      <c r="D281">
        <v>73</v>
      </c>
      <c r="E281">
        <v>860</v>
      </c>
      <c r="F281">
        <v>758</v>
      </c>
      <c r="G281" s="45">
        <f t="shared" si="17"/>
        <v>1.1345646437994723</v>
      </c>
      <c r="H281" s="45">
        <f t="shared" si="16"/>
        <v>0.56279124979835093</v>
      </c>
      <c r="I281" s="45">
        <f t="shared" si="18"/>
        <v>0.55555555555555558</v>
      </c>
      <c r="J281" s="45">
        <f t="shared" si="19"/>
        <v>7.2356942427953541E-3</v>
      </c>
    </row>
    <row r="282" spans="1:10" x14ac:dyDescent="0.35">
      <c r="A282" s="1">
        <v>2007</v>
      </c>
      <c r="B282" t="s">
        <v>9</v>
      </c>
      <c r="C282">
        <v>88</v>
      </c>
      <c r="D282">
        <v>74</v>
      </c>
      <c r="E282">
        <v>887</v>
      </c>
      <c r="F282">
        <v>797</v>
      </c>
      <c r="G282" s="45">
        <f t="shared" si="17"/>
        <v>1.1129234629861982</v>
      </c>
      <c r="H282" s="45">
        <f t="shared" si="16"/>
        <v>0.5532919637293966</v>
      </c>
      <c r="I282" s="45">
        <f t="shared" si="18"/>
        <v>0.54320987654320985</v>
      </c>
      <c r="J282" s="45">
        <f t="shared" si="19"/>
        <v>1.008208718618675E-2</v>
      </c>
    </row>
    <row r="283" spans="1:10" x14ac:dyDescent="0.35">
      <c r="A283" s="1">
        <v>2007</v>
      </c>
      <c r="B283" t="s">
        <v>43</v>
      </c>
      <c r="C283">
        <v>71</v>
      </c>
      <c r="D283">
        <v>91</v>
      </c>
      <c r="E283">
        <v>790</v>
      </c>
      <c r="F283">
        <v>891</v>
      </c>
      <c r="G283" s="45">
        <f t="shared" si="17"/>
        <v>0.88664421997755327</v>
      </c>
      <c r="H283" s="45">
        <f t="shared" si="16"/>
        <v>0.44013283675874354</v>
      </c>
      <c r="I283" s="45">
        <f t="shared" si="18"/>
        <v>0.43827160493827161</v>
      </c>
      <c r="J283" s="45">
        <f t="shared" si="19"/>
        <v>1.8612318204719314E-3</v>
      </c>
    </row>
    <row r="284" spans="1:10" x14ac:dyDescent="0.35">
      <c r="A284" s="1">
        <v>2007</v>
      </c>
      <c r="B284" t="s">
        <v>10</v>
      </c>
      <c r="C284">
        <v>73</v>
      </c>
      <c r="D284">
        <v>89</v>
      </c>
      <c r="E284">
        <v>723</v>
      </c>
      <c r="F284">
        <v>813</v>
      </c>
      <c r="G284" s="45">
        <f t="shared" si="17"/>
        <v>0.88929889298892983</v>
      </c>
      <c r="H284" s="45">
        <f t="shared" si="16"/>
        <v>0.44160672739161511</v>
      </c>
      <c r="I284" s="45">
        <f t="shared" si="18"/>
        <v>0.45061728395061729</v>
      </c>
      <c r="J284" s="45">
        <f t="shared" si="19"/>
        <v>9.0105565590021808E-3</v>
      </c>
    </row>
    <row r="285" spans="1:10" x14ac:dyDescent="0.35">
      <c r="A285" s="1">
        <v>2007</v>
      </c>
      <c r="B285" t="s">
        <v>11</v>
      </c>
      <c r="C285">
        <v>69</v>
      </c>
      <c r="D285">
        <v>93</v>
      </c>
      <c r="E285">
        <v>706</v>
      </c>
      <c r="F285">
        <v>778</v>
      </c>
      <c r="G285" s="45">
        <f t="shared" si="17"/>
        <v>0.90745501285347041</v>
      </c>
      <c r="H285" s="45">
        <f t="shared" ref="H285:H348" si="20">(G285^2)/((G285^2)+1)</f>
        <v>0.45159641938172723</v>
      </c>
      <c r="I285" s="45">
        <f t="shared" si="18"/>
        <v>0.42592592592592593</v>
      </c>
      <c r="J285" s="45">
        <f t="shared" si="19"/>
        <v>2.5670493455801302E-2</v>
      </c>
    </row>
    <row r="286" spans="1:10" x14ac:dyDescent="0.35">
      <c r="A286" s="1">
        <v>2007</v>
      </c>
      <c r="B286" t="s">
        <v>12</v>
      </c>
      <c r="C286">
        <v>94</v>
      </c>
      <c r="D286">
        <v>68</v>
      </c>
      <c r="E286">
        <v>822</v>
      </c>
      <c r="F286">
        <v>731</v>
      </c>
      <c r="G286" s="45">
        <f t="shared" si="17"/>
        <v>1.1244870041039672</v>
      </c>
      <c r="H286" s="45">
        <f t="shared" si="20"/>
        <v>0.55839576214107745</v>
      </c>
      <c r="I286" s="45">
        <f t="shared" si="18"/>
        <v>0.58024691358024694</v>
      </c>
      <c r="J286" s="45">
        <f t="shared" si="19"/>
        <v>2.1851151439169492E-2</v>
      </c>
    </row>
    <row r="287" spans="1:10" x14ac:dyDescent="0.35">
      <c r="A287" s="1">
        <v>2007</v>
      </c>
      <c r="B287" t="s">
        <v>13</v>
      </c>
      <c r="C287">
        <v>82</v>
      </c>
      <c r="D287">
        <v>80</v>
      </c>
      <c r="E287">
        <v>735</v>
      </c>
      <c r="F287">
        <v>727</v>
      </c>
      <c r="G287" s="45">
        <f t="shared" si="17"/>
        <v>1.0110041265474552</v>
      </c>
      <c r="H287" s="45">
        <f t="shared" si="20"/>
        <v>0.50547179238627404</v>
      </c>
      <c r="I287" s="45">
        <f t="shared" si="18"/>
        <v>0.50617283950617287</v>
      </c>
      <c r="J287" s="45">
        <f t="shared" si="19"/>
        <v>7.0104711989882329E-4</v>
      </c>
    </row>
    <row r="288" spans="1:10" x14ac:dyDescent="0.35">
      <c r="A288" s="1">
        <v>2007</v>
      </c>
      <c r="B288" t="s">
        <v>15</v>
      </c>
      <c r="C288">
        <v>83</v>
      </c>
      <c r="D288">
        <v>79</v>
      </c>
      <c r="E288">
        <v>801</v>
      </c>
      <c r="F288">
        <v>776</v>
      </c>
      <c r="G288" s="45">
        <f t="shared" si="17"/>
        <v>1.0322164948453609</v>
      </c>
      <c r="H288" s="45">
        <f t="shared" si="20"/>
        <v>0.51584890217458601</v>
      </c>
      <c r="I288" s="45">
        <f t="shared" si="18"/>
        <v>0.51234567901234573</v>
      </c>
      <c r="J288" s="45">
        <f t="shared" si="19"/>
        <v>3.5032231622402765E-3</v>
      </c>
    </row>
    <row r="289" spans="1:10" x14ac:dyDescent="0.35">
      <c r="A289" s="1">
        <v>2007</v>
      </c>
      <c r="B289" t="s">
        <v>16</v>
      </c>
      <c r="C289">
        <v>79</v>
      </c>
      <c r="D289">
        <v>83</v>
      </c>
      <c r="E289">
        <v>718</v>
      </c>
      <c r="F289">
        <v>725</v>
      </c>
      <c r="G289" s="45">
        <f t="shared" si="17"/>
        <v>0.9903448275862069</v>
      </c>
      <c r="H289" s="45">
        <f t="shared" si="20"/>
        <v>0.49514910930135836</v>
      </c>
      <c r="I289" s="45">
        <f t="shared" si="18"/>
        <v>0.48765432098765432</v>
      </c>
      <c r="J289" s="45">
        <f t="shared" si="19"/>
        <v>7.4947883137040372E-3</v>
      </c>
    </row>
    <row r="290" spans="1:10" x14ac:dyDescent="0.35">
      <c r="A290" s="1">
        <v>2007</v>
      </c>
      <c r="B290" t="s">
        <v>17</v>
      </c>
      <c r="C290">
        <v>88</v>
      </c>
      <c r="D290">
        <v>74</v>
      </c>
      <c r="E290">
        <v>804</v>
      </c>
      <c r="F290">
        <v>750</v>
      </c>
      <c r="G290" s="45">
        <f t="shared" si="17"/>
        <v>1.0720000000000001</v>
      </c>
      <c r="H290" s="45">
        <f t="shared" si="20"/>
        <v>0.53470712605342319</v>
      </c>
      <c r="I290" s="45">
        <f t="shared" si="18"/>
        <v>0.54320987654320985</v>
      </c>
      <c r="J290" s="45">
        <f t="shared" si="19"/>
        <v>8.502750489786659E-3</v>
      </c>
    </row>
    <row r="291" spans="1:10" x14ac:dyDescent="0.35">
      <c r="A291" s="1">
        <v>2007</v>
      </c>
      <c r="B291" t="s">
        <v>18</v>
      </c>
      <c r="C291">
        <v>94</v>
      </c>
      <c r="D291">
        <v>68</v>
      </c>
      <c r="E291">
        <v>968</v>
      </c>
      <c r="F291">
        <v>777</v>
      </c>
      <c r="G291" s="45">
        <f t="shared" si="17"/>
        <v>1.2458172458172458</v>
      </c>
      <c r="H291" s="45">
        <f t="shared" si="20"/>
        <v>0.60815977642100971</v>
      </c>
      <c r="I291" s="45">
        <f t="shared" si="18"/>
        <v>0.58024691358024694</v>
      </c>
      <c r="J291" s="45">
        <f t="shared" si="19"/>
        <v>2.7912862840762775E-2</v>
      </c>
    </row>
    <row r="292" spans="1:10" x14ac:dyDescent="0.35">
      <c r="A292" s="1">
        <v>2007</v>
      </c>
      <c r="B292" t="s">
        <v>19</v>
      </c>
      <c r="C292">
        <v>76</v>
      </c>
      <c r="D292">
        <v>86</v>
      </c>
      <c r="E292">
        <v>741</v>
      </c>
      <c r="F292">
        <v>758</v>
      </c>
      <c r="G292" s="45">
        <f t="shared" si="17"/>
        <v>0.97757255936675458</v>
      </c>
      <c r="H292" s="45">
        <f t="shared" si="20"/>
        <v>0.48866056450213369</v>
      </c>
      <c r="I292" s="45">
        <f t="shared" si="18"/>
        <v>0.46913580246913578</v>
      </c>
      <c r="J292" s="45">
        <f t="shared" si="19"/>
        <v>1.9524762032997911E-2</v>
      </c>
    </row>
    <row r="293" spans="1:10" x14ac:dyDescent="0.35">
      <c r="A293" s="1">
        <v>2007</v>
      </c>
      <c r="B293" t="s">
        <v>20</v>
      </c>
      <c r="C293">
        <v>89</v>
      </c>
      <c r="D293">
        <v>73</v>
      </c>
      <c r="E293">
        <v>892</v>
      </c>
      <c r="F293">
        <v>821</v>
      </c>
      <c r="G293" s="45">
        <f t="shared" si="17"/>
        <v>1.0864799025578562</v>
      </c>
      <c r="H293" s="45">
        <f t="shared" si="20"/>
        <v>0.54137667082849961</v>
      </c>
      <c r="I293" s="45">
        <f t="shared" si="18"/>
        <v>0.54938271604938271</v>
      </c>
      <c r="J293" s="45">
        <f t="shared" si="19"/>
        <v>8.0060452208831068E-3</v>
      </c>
    </row>
    <row r="294" spans="1:10" x14ac:dyDescent="0.35">
      <c r="A294" s="1">
        <v>2007</v>
      </c>
      <c r="B294" t="s">
        <v>21</v>
      </c>
      <c r="C294">
        <v>68</v>
      </c>
      <c r="D294">
        <v>94</v>
      </c>
      <c r="E294">
        <v>724</v>
      </c>
      <c r="F294">
        <v>846</v>
      </c>
      <c r="G294" s="45">
        <f t="shared" si="17"/>
        <v>0.85579196217494091</v>
      </c>
      <c r="H294" s="45">
        <f t="shared" si="20"/>
        <v>0.42275940162530284</v>
      </c>
      <c r="I294" s="45">
        <f t="shared" si="18"/>
        <v>0.41975308641975306</v>
      </c>
      <c r="J294" s="45">
        <f t="shared" si="19"/>
        <v>3.006315205549781E-3</v>
      </c>
    </row>
    <row r="295" spans="1:10" x14ac:dyDescent="0.35">
      <c r="A295" s="1">
        <v>2007</v>
      </c>
      <c r="B295" t="s">
        <v>22</v>
      </c>
      <c r="C295">
        <v>89</v>
      </c>
      <c r="D295">
        <v>74</v>
      </c>
      <c r="E295">
        <v>741</v>
      </c>
      <c r="F295">
        <v>666</v>
      </c>
      <c r="G295" s="45">
        <f t="shared" si="17"/>
        <v>1.1126126126126126</v>
      </c>
      <c r="H295" s="45">
        <f t="shared" si="20"/>
        <v>0.55315387195923582</v>
      </c>
      <c r="I295" s="45">
        <f t="shared" si="18"/>
        <v>0.54938271604938271</v>
      </c>
      <c r="J295" s="45">
        <f t="shared" si="19"/>
        <v>3.7711559098531078E-3</v>
      </c>
    </row>
    <row r="296" spans="1:10" x14ac:dyDescent="0.35">
      <c r="A296" s="1">
        <v>2007</v>
      </c>
      <c r="B296" t="s">
        <v>23</v>
      </c>
      <c r="C296">
        <v>88</v>
      </c>
      <c r="D296">
        <v>74</v>
      </c>
      <c r="E296">
        <v>794</v>
      </c>
      <c r="F296">
        <v>813</v>
      </c>
      <c r="G296" s="45">
        <f t="shared" si="17"/>
        <v>0.97662976629766296</v>
      </c>
      <c r="H296" s="45">
        <f t="shared" si="20"/>
        <v>0.48817837936201269</v>
      </c>
      <c r="I296" s="45">
        <f t="shared" si="18"/>
        <v>0.54320987654320985</v>
      </c>
      <c r="J296" s="45">
        <f t="shared" si="19"/>
        <v>5.5031497181197153E-2</v>
      </c>
    </row>
    <row r="297" spans="1:10" x14ac:dyDescent="0.35">
      <c r="A297" s="1">
        <v>2007</v>
      </c>
      <c r="B297" t="s">
        <v>24</v>
      </c>
      <c r="C297">
        <v>71</v>
      </c>
      <c r="D297">
        <v>91</v>
      </c>
      <c r="E297">
        <v>683</v>
      </c>
      <c r="F297">
        <v>720</v>
      </c>
      <c r="G297" s="45">
        <f t="shared" si="17"/>
        <v>0.94861111111111107</v>
      </c>
      <c r="H297" s="45">
        <f t="shared" si="20"/>
        <v>0.47364626876734328</v>
      </c>
      <c r="I297" s="45">
        <f t="shared" si="18"/>
        <v>0.43827160493827161</v>
      </c>
      <c r="J297" s="45">
        <f t="shared" si="19"/>
        <v>3.5374663829071673E-2</v>
      </c>
    </row>
    <row r="298" spans="1:10" x14ac:dyDescent="0.35">
      <c r="A298" s="1">
        <v>2007</v>
      </c>
      <c r="B298" t="s">
        <v>25</v>
      </c>
      <c r="C298">
        <v>78</v>
      </c>
      <c r="D298">
        <v>84</v>
      </c>
      <c r="E298">
        <v>725</v>
      </c>
      <c r="F298">
        <v>829</v>
      </c>
      <c r="G298" s="45">
        <f t="shared" si="17"/>
        <v>0.87454764776839566</v>
      </c>
      <c r="H298" s="45">
        <f t="shared" si="20"/>
        <v>0.43337433813793108</v>
      </c>
      <c r="I298" s="45">
        <f t="shared" si="18"/>
        <v>0.48148148148148145</v>
      </c>
      <c r="J298" s="45">
        <f t="shared" si="19"/>
        <v>4.8107143343550374E-2</v>
      </c>
    </row>
    <row r="299" spans="1:10" x14ac:dyDescent="0.35">
      <c r="A299" s="1">
        <v>2007</v>
      </c>
      <c r="B299" t="s">
        <v>44</v>
      </c>
      <c r="C299">
        <v>66</v>
      </c>
      <c r="D299">
        <v>96</v>
      </c>
      <c r="E299">
        <v>782</v>
      </c>
      <c r="F299">
        <v>944</v>
      </c>
      <c r="G299" s="45">
        <f t="shared" si="17"/>
        <v>0.82838983050847459</v>
      </c>
      <c r="H299" s="45">
        <f t="shared" si="20"/>
        <v>0.40696098917918888</v>
      </c>
      <c r="I299" s="45">
        <f t="shared" si="18"/>
        <v>0.40740740740740738</v>
      </c>
      <c r="J299" s="45">
        <f t="shared" si="19"/>
        <v>4.4641822821850363E-4</v>
      </c>
    </row>
    <row r="300" spans="1:10" x14ac:dyDescent="0.35">
      <c r="A300" s="1">
        <v>2007</v>
      </c>
      <c r="B300" t="s">
        <v>27</v>
      </c>
      <c r="C300">
        <v>75</v>
      </c>
      <c r="D300">
        <v>87</v>
      </c>
      <c r="E300">
        <v>816</v>
      </c>
      <c r="F300">
        <v>844</v>
      </c>
      <c r="G300" s="45">
        <f t="shared" si="17"/>
        <v>0.96682464454976302</v>
      </c>
      <c r="H300" s="45">
        <f t="shared" si="20"/>
        <v>0.48313732774533591</v>
      </c>
      <c r="I300" s="45">
        <f t="shared" si="18"/>
        <v>0.46296296296296297</v>
      </c>
      <c r="J300" s="45">
        <f t="shared" si="19"/>
        <v>2.0174364782372944E-2</v>
      </c>
    </row>
    <row r="301" spans="1:10" x14ac:dyDescent="0.35">
      <c r="A301" s="1">
        <v>2007</v>
      </c>
      <c r="B301" t="s">
        <v>28</v>
      </c>
      <c r="C301">
        <v>83</v>
      </c>
      <c r="D301">
        <v>79</v>
      </c>
      <c r="E301">
        <v>753</v>
      </c>
      <c r="F301">
        <v>699</v>
      </c>
      <c r="G301" s="45">
        <f t="shared" si="17"/>
        <v>1.0772532188841202</v>
      </c>
      <c r="H301" s="45">
        <f t="shared" si="20"/>
        <v>0.53713871600306939</v>
      </c>
      <c r="I301" s="45">
        <f t="shared" si="18"/>
        <v>0.51234567901234573</v>
      </c>
      <c r="J301" s="45">
        <f t="shared" si="19"/>
        <v>2.479303699072366E-2</v>
      </c>
    </row>
    <row r="302" spans="1:10" x14ac:dyDescent="0.35">
      <c r="A302" s="1">
        <v>2007</v>
      </c>
      <c r="B302" t="s">
        <v>29</v>
      </c>
      <c r="C302">
        <v>73</v>
      </c>
      <c r="D302">
        <v>89</v>
      </c>
      <c r="E302">
        <v>673</v>
      </c>
      <c r="F302">
        <v>783</v>
      </c>
      <c r="G302" s="45">
        <f t="shared" si="17"/>
        <v>0.85951468710089396</v>
      </c>
      <c r="H302" s="45">
        <f t="shared" si="20"/>
        <v>0.42487931723479339</v>
      </c>
      <c r="I302" s="45">
        <f t="shared" si="18"/>
        <v>0.45061728395061729</v>
      </c>
      <c r="J302" s="45">
        <f t="shared" si="19"/>
        <v>2.5737966715823901E-2</v>
      </c>
    </row>
    <row r="303" spans="1:10" x14ac:dyDescent="0.35">
      <c r="A303" s="1">
        <v>2006</v>
      </c>
      <c r="B303" t="s">
        <v>0</v>
      </c>
      <c r="C303">
        <v>76</v>
      </c>
      <c r="D303">
        <v>86</v>
      </c>
      <c r="E303">
        <v>773</v>
      </c>
      <c r="F303">
        <v>788</v>
      </c>
      <c r="G303" s="45">
        <f t="shared" si="17"/>
        <v>0.98096446700507611</v>
      </c>
      <c r="H303" s="45">
        <f t="shared" si="20"/>
        <v>0.49039166235115589</v>
      </c>
      <c r="I303" s="45">
        <f t="shared" si="18"/>
        <v>0.46913580246913578</v>
      </c>
      <c r="J303" s="45">
        <f t="shared" si="19"/>
        <v>2.1255859882020112E-2</v>
      </c>
    </row>
    <row r="304" spans="1:10" x14ac:dyDescent="0.35">
      <c r="A304" s="1">
        <v>2006</v>
      </c>
      <c r="B304" t="s">
        <v>1</v>
      </c>
      <c r="C304">
        <v>79</v>
      </c>
      <c r="D304">
        <v>83</v>
      </c>
      <c r="E304">
        <v>849</v>
      </c>
      <c r="F304">
        <v>805</v>
      </c>
      <c r="G304" s="45">
        <f t="shared" si="17"/>
        <v>1.0546583850931677</v>
      </c>
      <c r="H304" s="45">
        <f t="shared" si="20"/>
        <v>0.52658336413832008</v>
      </c>
      <c r="I304" s="45">
        <f t="shared" si="18"/>
        <v>0.48765432098765432</v>
      </c>
      <c r="J304" s="45">
        <f t="shared" si="19"/>
        <v>3.8929043150665754E-2</v>
      </c>
    </row>
    <row r="305" spans="1:10" x14ac:dyDescent="0.35">
      <c r="A305" s="1">
        <v>2006</v>
      </c>
      <c r="B305" t="s">
        <v>2</v>
      </c>
      <c r="C305">
        <v>70</v>
      </c>
      <c r="D305">
        <v>92</v>
      </c>
      <c r="E305">
        <v>768</v>
      </c>
      <c r="F305">
        <v>899</v>
      </c>
      <c r="G305" s="45">
        <f t="shared" si="17"/>
        <v>0.85428253615127925</v>
      </c>
      <c r="H305" s="45">
        <f t="shared" si="20"/>
        <v>0.4218980347275621</v>
      </c>
      <c r="I305" s="45">
        <f t="shared" si="18"/>
        <v>0.43209876543209874</v>
      </c>
      <c r="J305" s="45">
        <f t="shared" si="19"/>
        <v>1.0200730704536642E-2</v>
      </c>
    </row>
    <row r="306" spans="1:10" x14ac:dyDescent="0.35">
      <c r="A306" s="1">
        <v>2006</v>
      </c>
      <c r="B306" t="s">
        <v>3</v>
      </c>
      <c r="C306">
        <v>86</v>
      </c>
      <c r="D306">
        <v>76</v>
      </c>
      <c r="E306">
        <v>820</v>
      </c>
      <c r="F306">
        <v>825</v>
      </c>
      <c r="G306" s="45">
        <f t="shared" si="17"/>
        <v>0.9939393939393939</v>
      </c>
      <c r="H306" s="45">
        <f t="shared" si="20"/>
        <v>0.496960514402912</v>
      </c>
      <c r="I306" s="45">
        <f t="shared" si="18"/>
        <v>0.53086419753086422</v>
      </c>
      <c r="J306" s="45">
        <f t="shared" si="19"/>
        <v>3.3903683127952222E-2</v>
      </c>
    </row>
    <row r="307" spans="1:10" x14ac:dyDescent="0.35">
      <c r="A307" s="1">
        <v>2006</v>
      </c>
      <c r="B307" t="s">
        <v>4</v>
      </c>
      <c r="C307">
        <v>66</v>
      </c>
      <c r="D307">
        <v>96</v>
      </c>
      <c r="E307">
        <v>716</v>
      </c>
      <c r="F307">
        <v>834</v>
      </c>
      <c r="G307" s="45">
        <f t="shared" si="17"/>
        <v>0.85851318944844124</v>
      </c>
      <c r="H307" s="45">
        <f t="shared" si="20"/>
        <v>0.42430964102326413</v>
      </c>
      <c r="I307" s="45">
        <f t="shared" si="18"/>
        <v>0.40740740740740738</v>
      </c>
      <c r="J307" s="45">
        <f t="shared" si="19"/>
        <v>1.6902233615856743E-2</v>
      </c>
    </row>
    <row r="308" spans="1:10" x14ac:dyDescent="0.35">
      <c r="A308" s="1">
        <v>2006</v>
      </c>
      <c r="B308" t="s">
        <v>5</v>
      </c>
      <c r="C308">
        <v>90</v>
      </c>
      <c r="D308">
        <v>72</v>
      </c>
      <c r="E308">
        <v>868</v>
      </c>
      <c r="F308">
        <v>794</v>
      </c>
      <c r="G308" s="45">
        <f t="shared" si="17"/>
        <v>1.093198992443325</v>
      </c>
      <c r="H308" s="45">
        <f t="shared" si="20"/>
        <v>0.54443657595421502</v>
      </c>
      <c r="I308" s="45">
        <f t="shared" si="18"/>
        <v>0.55555555555555558</v>
      </c>
      <c r="J308" s="45">
        <f t="shared" si="19"/>
        <v>1.1118979601340562E-2</v>
      </c>
    </row>
    <row r="309" spans="1:10" x14ac:dyDescent="0.35">
      <c r="A309" s="1">
        <v>2006</v>
      </c>
      <c r="B309" t="s">
        <v>6</v>
      </c>
      <c r="C309">
        <v>80</v>
      </c>
      <c r="D309">
        <v>82</v>
      </c>
      <c r="E309">
        <v>749</v>
      </c>
      <c r="F309">
        <v>801</v>
      </c>
      <c r="G309" s="45">
        <f t="shared" si="17"/>
        <v>0.93508114856429458</v>
      </c>
      <c r="H309" s="45">
        <f t="shared" si="20"/>
        <v>0.46648932897167977</v>
      </c>
      <c r="I309" s="45">
        <f t="shared" si="18"/>
        <v>0.49382716049382713</v>
      </c>
      <c r="J309" s="45">
        <f t="shared" si="19"/>
        <v>2.733783152214736E-2</v>
      </c>
    </row>
    <row r="310" spans="1:10" x14ac:dyDescent="0.35">
      <c r="A310" s="1">
        <v>2006</v>
      </c>
      <c r="B310" t="s">
        <v>7</v>
      </c>
      <c r="C310">
        <v>78</v>
      </c>
      <c r="D310">
        <v>84</v>
      </c>
      <c r="E310">
        <v>870</v>
      </c>
      <c r="F310">
        <v>782</v>
      </c>
      <c r="G310" s="45">
        <f t="shared" si="17"/>
        <v>1.1125319693094629</v>
      </c>
      <c r="H310" s="45">
        <f t="shared" si="20"/>
        <v>0.55311803943806892</v>
      </c>
      <c r="I310" s="45">
        <f t="shared" si="18"/>
        <v>0.48148148148148145</v>
      </c>
      <c r="J310" s="45">
        <f t="shared" si="19"/>
        <v>7.1636557956587466E-2</v>
      </c>
    </row>
    <row r="311" spans="1:10" x14ac:dyDescent="0.35">
      <c r="A311" s="1">
        <v>2006</v>
      </c>
      <c r="B311" t="s">
        <v>8</v>
      </c>
      <c r="C311">
        <v>76</v>
      </c>
      <c r="D311">
        <v>86</v>
      </c>
      <c r="E311">
        <v>813</v>
      </c>
      <c r="F311">
        <v>812</v>
      </c>
      <c r="G311" s="45">
        <f t="shared" si="17"/>
        <v>1.0012315270935961</v>
      </c>
      <c r="H311" s="45">
        <f t="shared" si="20"/>
        <v>0.50061538438233955</v>
      </c>
      <c r="I311" s="45">
        <f t="shared" si="18"/>
        <v>0.46913580246913578</v>
      </c>
      <c r="J311" s="45">
        <f t="shared" si="19"/>
        <v>3.1479581913203769E-2</v>
      </c>
    </row>
    <row r="312" spans="1:10" x14ac:dyDescent="0.35">
      <c r="A312" s="1">
        <v>2006</v>
      </c>
      <c r="B312" t="s">
        <v>9</v>
      </c>
      <c r="C312">
        <v>95</v>
      </c>
      <c r="D312">
        <v>67</v>
      </c>
      <c r="E312">
        <v>822</v>
      </c>
      <c r="F312">
        <v>675</v>
      </c>
      <c r="G312" s="45">
        <f t="shared" si="17"/>
        <v>1.2177777777777778</v>
      </c>
      <c r="H312" s="45">
        <f t="shared" si="20"/>
        <v>0.59725857391747084</v>
      </c>
      <c r="I312" s="45">
        <f t="shared" si="18"/>
        <v>0.5864197530864198</v>
      </c>
      <c r="J312" s="45">
        <f t="shared" si="19"/>
        <v>1.0838820831051033E-2</v>
      </c>
    </row>
    <row r="313" spans="1:10" x14ac:dyDescent="0.35">
      <c r="A313" s="1">
        <v>2006</v>
      </c>
      <c r="B313" t="s">
        <v>43</v>
      </c>
      <c r="C313">
        <v>78</v>
      </c>
      <c r="D313">
        <v>84</v>
      </c>
      <c r="E313">
        <v>758</v>
      </c>
      <c r="F313">
        <v>772</v>
      </c>
      <c r="G313" s="45">
        <f t="shared" si="17"/>
        <v>0.98186528497409331</v>
      </c>
      <c r="H313" s="45">
        <f t="shared" si="20"/>
        <v>0.49085043928143063</v>
      </c>
      <c r="I313" s="45">
        <f t="shared" si="18"/>
        <v>0.48148148148148145</v>
      </c>
      <c r="J313" s="45">
        <f t="shared" si="19"/>
        <v>9.3689577999491735E-3</v>
      </c>
    </row>
    <row r="314" spans="1:10" x14ac:dyDescent="0.35">
      <c r="A314" s="1">
        <v>2006</v>
      </c>
      <c r="B314" t="s">
        <v>10</v>
      </c>
      <c r="C314">
        <v>82</v>
      </c>
      <c r="D314">
        <v>80</v>
      </c>
      <c r="E314">
        <v>735</v>
      </c>
      <c r="F314">
        <v>719</v>
      </c>
      <c r="G314" s="45">
        <f t="shared" si="17"/>
        <v>1.0222531293463144</v>
      </c>
      <c r="H314" s="45">
        <f t="shared" si="20"/>
        <v>0.51100279421029038</v>
      </c>
      <c r="I314" s="45">
        <f t="shared" si="18"/>
        <v>0.50617283950617287</v>
      </c>
      <c r="J314" s="45">
        <f t="shared" si="19"/>
        <v>4.8299547041175117E-3</v>
      </c>
    </row>
    <row r="315" spans="1:10" x14ac:dyDescent="0.35">
      <c r="A315" s="1">
        <v>2006</v>
      </c>
      <c r="B315" t="s">
        <v>11</v>
      </c>
      <c r="C315">
        <v>62</v>
      </c>
      <c r="D315">
        <v>100</v>
      </c>
      <c r="E315">
        <v>757</v>
      </c>
      <c r="F315">
        <v>971</v>
      </c>
      <c r="G315" s="45">
        <f t="shared" si="17"/>
        <v>0.77960865087538622</v>
      </c>
      <c r="H315" s="45">
        <f t="shared" si="20"/>
        <v>0.37802808910936808</v>
      </c>
      <c r="I315" s="45">
        <f t="shared" si="18"/>
        <v>0.38271604938271603</v>
      </c>
      <c r="J315" s="45">
        <f t="shared" si="19"/>
        <v>4.6879602733479464E-3</v>
      </c>
    </row>
    <row r="316" spans="1:10" x14ac:dyDescent="0.35">
      <c r="A316" s="1">
        <v>2006</v>
      </c>
      <c r="B316" t="s">
        <v>12</v>
      </c>
      <c r="C316">
        <v>89</v>
      </c>
      <c r="D316">
        <v>73</v>
      </c>
      <c r="E316">
        <v>766</v>
      </c>
      <c r="F316">
        <v>732</v>
      </c>
      <c r="G316" s="45">
        <f t="shared" si="17"/>
        <v>1.0464480874316939</v>
      </c>
      <c r="H316" s="45">
        <f t="shared" si="20"/>
        <v>0.52268524292255336</v>
      </c>
      <c r="I316" s="45">
        <f t="shared" si="18"/>
        <v>0.54938271604938271</v>
      </c>
      <c r="J316" s="45">
        <f t="shared" si="19"/>
        <v>2.6697473126829352E-2</v>
      </c>
    </row>
    <row r="317" spans="1:10" x14ac:dyDescent="0.35">
      <c r="A317" s="1">
        <v>2006</v>
      </c>
      <c r="B317" t="s">
        <v>13</v>
      </c>
      <c r="C317">
        <v>88</v>
      </c>
      <c r="D317">
        <v>74</v>
      </c>
      <c r="E317">
        <v>820</v>
      </c>
      <c r="F317">
        <v>751</v>
      </c>
      <c r="G317" s="45">
        <f t="shared" si="17"/>
        <v>1.0918774966711051</v>
      </c>
      <c r="H317" s="45">
        <f t="shared" si="20"/>
        <v>0.5438365061173519</v>
      </c>
      <c r="I317" s="45">
        <f t="shared" si="18"/>
        <v>0.54320987654320985</v>
      </c>
      <c r="J317" s="45">
        <f t="shared" si="19"/>
        <v>6.2662957414205689E-4</v>
      </c>
    </row>
    <row r="318" spans="1:10" x14ac:dyDescent="0.35">
      <c r="A318" s="1">
        <v>2006</v>
      </c>
      <c r="B318" t="s">
        <v>15</v>
      </c>
      <c r="C318">
        <v>75</v>
      </c>
      <c r="D318">
        <v>87</v>
      </c>
      <c r="E318">
        <v>730</v>
      </c>
      <c r="F318">
        <v>833</v>
      </c>
      <c r="G318" s="45">
        <f t="shared" si="17"/>
        <v>0.87635054021608638</v>
      </c>
      <c r="H318" s="45">
        <f t="shared" si="20"/>
        <v>0.43438602726304193</v>
      </c>
      <c r="I318" s="45">
        <f t="shared" si="18"/>
        <v>0.46296296296296297</v>
      </c>
      <c r="J318" s="45">
        <f t="shared" si="19"/>
        <v>2.8576935699921036E-2</v>
      </c>
    </row>
    <row r="319" spans="1:10" x14ac:dyDescent="0.35">
      <c r="A319" s="1">
        <v>2006</v>
      </c>
      <c r="B319" t="s">
        <v>16</v>
      </c>
      <c r="C319">
        <v>96</v>
      </c>
      <c r="D319">
        <v>66</v>
      </c>
      <c r="E319">
        <v>801</v>
      </c>
      <c r="F319">
        <v>683</v>
      </c>
      <c r="G319" s="45">
        <f t="shared" si="17"/>
        <v>1.1727672035139092</v>
      </c>
      <c r="H319" s="45">
        <f t="shared" si="20"/>
        <v>0.57901524244420577</v>
      </c>
      <c r="I319" s="45">
        <f t="shared" si="18"/>
        <v>0.59259259259259256</v>
      </c>
      <c r="J319" s="45">
        <f t="shared" si="19"/>
        <v>1.3577350148386791E-2</v>
      </c>
    </row>
    <row r="320" spans="1:10" x14ac:dyDescent="0.35">
      <c r="A320" s="1">
        <v>2006</v>
      </c>
      <c r="B320" t="s">
        <v>17</v>
      </c>
      <c r="C320">
        <v>97</v>
      </c>
      <c r="D320">
        <v>65</v>
      </c>
      <c r="E320">
        <v>834</v>
      </c>
      <c r="F320">
        <v>731</v>
      </c>
      <c r="G320" s="45">
        <f t="shared" si="17"/>
        <v>1.1409028727770179</v>
      </c>
      <c r="H320" s="45">
        <f t="shared" si="20"/>
        <v>0.56553084476432147</v>
      </c>
      <c r="I320" s="45">
        <f t="shared" si="18"/>
        <v>0.59876543209876543</v>
      </c>
      <c r="J320" s="45">
        <f t="shared" si="19"/>
        <v>3.3234587334443955E-2</v>
      </c>
    </row>
    <row r="321" spans="1:10" x14ac:dyDescent="0.35">
      <c r="A321" s="1">
        <v>2006</v>
      </c>
      <c r="B321" t="s">
        <v>18</v>
      </c>
      <c r="C321">
        <v>97</v>
      </c>
      <c r="D321">
        <v>65</v>
      </c>
      <c r="E321">
        <v>930</v>
      </c>
      <c r="F321">
        <v>767</v>
      </c>
      <c r="G321" s="45">
        <f t="shared" si="17"/>
        <v>1.21251629726206</v>
      </c>
      <c r="H321" s="45">
        <f t="shared" si="20"/>
        <v>0.59517378675451027</v>
      </c>
      <c r="I321" s="45">
        <f t="shared" si="18"/>
        <v>0.59876543209876543</v>
      </c>
      <c r="J321" s="45">
        <f t="shared" si="19"/>
        <v>3.5916453442551566E-3</v>
      </c>
    </row>
    <row r="322" spans="1:10" x14ac:dyDescent="0.35">
      <c r="A322" s="1">
        <v>2006</v>
      </c>
      <c r="B322" t="s">
        <v>19</v>
      </c>
      <c r="C322">
        <v>93</v>
      </c>
      <c r="D322">
        <v>69</v>
      </c>
      <c r="E322">
        <v>771</v>
      </c>
      <c r="F322">
        <v>727</v>
      </c>
      <c r="G322" s="45">
        <f t="shared" si="17"/>
        <v>1.0605226960110041</v>
      </c>
      <c r="H322" s="45">
        <f t="shared" si="20"/>
        <v>0.52934717757375527</v>
      </c>
      <c r="I322" s="45">
        <f t="shared" si="18"/>
        <v>0.57407407407407407</v>
      </c>
      <c r="J322" s="45">
        <f t="shared" si="19"/>
        <v>4.4726896500318802E-2</v>
      </c>
    </row>
    <row r="323" spans="1:10" x14ac:dyDescent="0.35">
      <c r="A323" s="1">
        <v>2006</v>
      </c>
      <c r="B323" t="s">
        <v>20</v>
      </c>
      <c r="C323">
        <v>85</v>
      </c>
      <c r="D323">
        <v>77</v>
      </c>
      <c r="E323">
        <v>865</v>
      </c>
      <c r="F323">
        <v>812</v>
      </c>
      <c r="G323" s="45">
        <f t="shared" ref="G323:G362" si="21">E323/F323</f>
        <v>1.0652709359605912</v>
      </c>
      <c r="H323" s="45">
        <f t="shared" si="20"/>
        <v>0.53157251971306563</v>
      </c>
      <c r="I323" s="45">
        <f t="shared" ref="I323:I362" si="22">C323/162</f>
        <v>0.52469135802469136</v>
      </c>
      <c r="J323" s="45">
        <f t="shared" ref="J323:J362" si="23">ABS(H323-I323)</f>
        <v>6.881161688374271E-3</v>
      </c>
    </row>
    <row r="324" spans="1:10" x14ac:dyDescent="0.35">
      <c r="A324" s="1">
        <v>2006</v>
      </c>
      <c r="B324" t="s">
        <v>21</v>
      </c>
      <c r="C324">
        <v>67</v>
      </c>
      <c r="D324">
        <v>95</v>
      </c>
      <c r="E324">
        <v>691</v>
      </c>
      <c r="F324">
        <v>797</v>
      </c>
      <c r="G324" s="45">
        <f t="shared" si="21"/>
        <v>0.86700125470514433</v>
      </c>
      <c r="H324" s="45">
        <f t="shared" si="20"/>
        <v>0.42912311605209003</v>
      </c>
      <c r="I324" s="45">
        <f t="shared" si="22"/>
        <v>0.41358024691358025</v>
      </c>
      <c r="J324" s="45">
        <f t="shared" si="23"/>
        <v>1.5542869138509774E-2</v>
      </c>
    </row>
    <row r="325" spans="1:10" x14ac:dyDescent="0.35">
      <c r="A325" s="1">
        <v>2006</v>
      </c>
      <c r="B325" t="s">
        <v>22</v>
      </c>
      <c r="C325">
        <v>88</v>
      </c>
      <c r="D325">
        <v>74</v>
      </c>
      <c r="E325">
        <v>731</v>
      </c>
      <c r="F325">
        <v>679</v>
      </c>
      <c r="G325" s="45">
        <f t="shared" si="21"/>
        <v>1.0765832106038291</v>
      </c>
      <c r="H325" s="45">
        <f t="shared" si="20"/>
        <v>0.53682934131134952</v>
      </c>
      <c r="I325" s="45">
        <f t="shared" si="22"/>
        <v>0.54320987654320985</v>
      </c>
      <c r="J325" s="45">
        <f t="shared" si="23"/>
        <v>6.3805352318603292E-3</v>
      </c>
    </row>
    <row r="326" spans="1:10" x14ac:dyDescent="0.35">
      <c r="A326" s="1">
        <v>2006</v>
      </c>
      <c r="B326" t="s">
        <v>23</v>
      </c>
      <c r="C326">
        <v>78</v>
      </c>
      <c r="D326">
        <v>84</v>
      </c>
      <c r="E326">
        <v>756</v>
      </c>
      <c r="F326">
        <v>792</v>
      </c>
      <c r="G326" s="45">
        <f t="shared" si="21"/>
        <v>0.95454545454545459</v>
      </c>
      <c r="H326" s="45">
        <f t="shared" si="20"/>
        <v>0.47675675675675683</v>
      </c>
      <c r="I326" s="45">
        <f t="shared" si="22"/>
        <v>0.48148148148148145</v>
      </c>
      <c r="J326" s="45">
        <f t="shared" si="23"/>
        <v>4.7247247247246271E-3</v>
      </c>
    </row>
    <row r="327" spans="1:10" x14ac:dyDescent="0.35">
      <c r="A327" s="1">
        <v>2006</v>
      </c>
      <c r="B327" t="s">
        <v>24</v>
      </c>
      <c r="C327">
        <v>76</v>
      </c>
      <c r="D327">
        <v>85</v>
      </c>
      <c r="E327">
        <v>746</v>
      </c>
      <c r="F327">
        <v>790</v>
      </c>
      <c r="G327" s="45">
        <f t="shared" si="21"/>
        <v>0.94430379746835447</v>
      </c>
      <c r="H327" s="45">
        <f t="shared" si="20"/>
        <v>0.47137765369942475</v>
      </c>
      <c r="I327" s="45">
        <f t="shared" si="22"/>
        <v>0.46913580246913578</v>
      </c>
      <c r="J327" s="45">
        <f t="shared" si="23"/>
        <v>2.2418512302889715E-3</v>
      </c>
    </row>
    <row r="328" spans="1:10" x14ac:dyDescent="0.35">
      <c r="A328" s="1">
        <v>2006</v>
      </c>
      <c r="B328" t="s">
        <v>25</v>
      </c>
      <c r="C328">
        <v>83</v>
      </c>
      <c r="D328">
        <v>78</v>
      </c>
      <c r="E328">
        <v>781</v>
      </c>
      <c r="F328">
        <v>762</v>
      </c>
      <c r="G328" s="45">
        <f t="shared" si="21"/>
        <v>1.0249343832020998</v>
      </c>
      <c r="H328" s="45">
        <f t="shared" si="20"/>
        <v>0.51231180786238928</v>
      </c>
      <c r="I328" s="45">
        <f t="shared" si="22"/>
        <v>0.51234567901234573</v>
      </c>
      <c r="J328" s="45">
        <f t="shared" si="23"/>
        <v>3.3871149956454794E-5</v>
      </c>
    </row>
    <row r="329" spans="1:10" x14ac:dyDescent="0.35">
      <c r="A329" s="1">
        <v>2006</v>
      </c>
      <c r="B329" t="s">
        <v>44</v>
      </c>
      <c r="C329">
        <v>61</v>
      </c>
      <c r="D329">
        <v>101</v>
      </c>
      <c r="E329">
        <v>689</v>
      </c>
      <c r="F329">
        <v>856</v>
      </c>
      <c r="G329" s="45">
        <f t="shared" si="21"/>
        <v>0.80490654205607481</v>
      </c>
      <c r="H329" s="45">
        <f t="shared" si="20"/>
        <v>0.39315768594658035</v>
      </c>
      <c r="I329" s="45">
        <f t="shared" si="22"/>
        <v>0.37654320987654322</v>
      </c>
      <c r="J329" s="45">
        <f t="shared" si="23"/>
        <v>1.6614476070037132E-2</v>
      </c>
    </row>
    <row r="330" spans="1:10" x14ac:dyDescent="0.35">
      <c r="A330" s="1">
        <v>2006</v>
      </c>
      <c r="B330" t="s">
        <v>27</v>
      </c>
      <c r="C330">
        <v>80</v>
      </c>
      <c r="D330">
        <v>82</v>
      </c>
      <c r="E330">
        <v>835</v>
      </c>
      <c r="F330">
        <v>784</v>
      </c>
      <c r="G330" s="45">
        <f t="shared" si="21"/>
        <v>1.0650510204081634</v>
      </c>
      <c r="H330" s="45">
        <f t="shared" si="20"/>
        <v>0.53146969885225881</v>
      </c>
      <c r="I330" s="45">
        <f t="shared" si="22"/>
        <v>0.49382716049382713</v>
      </c>
      <c r="J330" s="45">
        <f t="shared" si="23"/>
        <v>3.7642538358431676E-2</v>
      </c>
    </row>
    <row r="331" spans="1:10" x14ac:dyDescent="0.35">
      <c r="A331" s="1">
        <v>2006</v>
      </c>
      <c r="B331" t="s">
        <v>28</v>
      </c>
      <c r="C331">
        <v>87</v>
      </c>
      <c r="D331">
        <v>75</v>
      </c>
      <c r="E331">
        <v>809</v>
      </c>
      <c r="F331">
        <v>754</v>
      </c>
      <c r="G331" s="45">
        <f t="shared" si="21"/>
        <v>1.072944297082228</v>
      </c>
      <c r="H331" s="45">
        <f t="shared" si="20"/>
        <v>0.53514522112482699</v>
      </c>
      <c r="I331" s="45">
        <f t="shared" si="22"/>
        <v>0.53703703703703709</v>
      </c>
      <c r="J331" s="45">
        <f t="shared" si="23"/>
        <v>1.8918159122101041E-3</v>
      </c>
    </row>
    <row r="332" spans="1:10" x14ac:dyDescent="0.35">
      <c r="A332" s="1">
        <v>2006</v>
      </c>
      <c r="B332" t="s">
        <v>29</v>
      </c>
      <c r="C332">
        <v>71</v>
      </c>
      <c r="D332">
        <v>91</v>
      </c>
      <c r="E332">
        <v>746</v>
      </c>
      <c r="F332">
        <v>872</v>
      </c>
      <c r="G332" s="45">
        <f t="shared" si="21"/>
        <v>0.85550458715596334</v>
      </c>
      <c r="H332" s="45">
        <f t="shared" si="20"/>
        <v>0.42259548940694053</v>
      </c>
      <c r="I332" s="45">
        <f t="shared" si="22"/>
        <v>0.43827160493827161</v>
      </c>
      <c r="J332" s="45">
        <f t="shared" si="23"/>
        <v>1.5676115531331081E-2</v>
      </c>
    </row>
    <row r="333" spans="1:10" x14ac:dyDescent="0.35">
      <c r="A333" s="1">
        <v>2005</v>
      </c>
      <c r="B333" t="s">
        <v>0</v>
      </c>
      <c r="C333">
        <v>77</v>
      </c>
      <c r="D333">
        <v>85</v>
      </c>
      <c r="E333">
        <v>696</v>
      </c>
      <c r="F333">
        <v>856</v>
      </c>
      <c r="G333" s="45">
        <f t="shared" si="21"/>
        <v>0.81308411214953269</v>
      </c>
      <c r="H333" s="45">
        <f t="shared" si="20"/>
        <v>0.39799137659059836</v>
      </c>
      <c r="I333" s="45">
        <f t="shared" si="22"/>
        <v>0.47530864197530864</v>
      </c>
      <c r="J333" s="45">
        <f t="shared" si="23"/>
        <v>7.7317265384710288E-2</v>
      </c>
    </row>
    <row r="334" spans="1:10" x14ac:dyDescent="0.35">
      <c r="A334" s="1">
        <v>2005</v>
      </c>
      <c r="B334" t="s">
        <v>1</v>
      </c>
      <c r="C334">
        <v>90</v>
      </c>
      <c r="D334">
        <v>72</v>
      </c>
      <c r="E334">
        <v>769</v>
      </c>
      <c r="F334">
        <v>674</v>
      </c>
      <c r="G334" s="45">
        <f t="shared" si="21"/>
        <v>1.1409495548961424</v>
      </c>
      <c r="H334" s="45">
        <f t="shared" si="20"/>
        <v>0.5655509512383361</v>
      </c>
      <c r="I334" s="45">
        <f t="shared" si="22"/>
        <v>0.55555555555555558</v>
      </c>
      <c r="J334" s="45">
        <f t="shared" si="23"/>
        <v>9.9953956827805168E-3</v>
      </c>
    </row>
    <row r="335" spans="1:10" x14ac:dyDescent="0.35">
      <c r="A335" s="1">
        <v>2005</v>
      </c>
      <c r="B335" t="s">
        <v>2</v>
      </c>
      <c r="C335">
        <v>74</v>
      </c>
      <c r="D335">
        <v>88</v>
      </c>
      <c r="E335">
        <v>729</v>
      </c>
      <c r="F335">
        <v>800</v>
      </c>
      <c r="G335" s="45">
        <f t="shared" si="21"/>
        <v>0.91125</v>
      </c>
      <c r="H335" s="45">
        <f t="shared" si="20"/>
        <v>0.45366433307353932</v>
      </c>
      <c r="I335" s="45">
        <f t="shared" si="22"/>
        <v>0.4567901234567901</v>
      </c>
      <c r="J335" s="45">
        <f t="shared" si="23"/>
        <v>3.1257903832507816E-3</v>
      </c>
    </row>
    <row r="336" spans="1:10" x14ac:dyDescent="0.35">
      <c r="A336" s="1">
        <v>2005</v>
      </c>
      <c r="B336" t="s">
        <v>3</v>
      </c>
      <c r="C336">
        <v>95</v>
      </c>
      <c r="D336">
        <v>67</v>
      </c>
      <c r="E336">
        <v>910</v>
      </c>
      <c r="F336">
        <v>805</v>
      </c>
      <c r="G336" s="45">
        <f t="shared" si="21"/>
        <v>1.1304347826086956</v>
      </c>
      <c r="H336" s="45">
        <f t="shared" si="20"/>
        <v>0.56099585062240664</v>
      </c>
      <c r="I336" s="45">
        <f t="shared" si="22"/>
        <v>0.5864197530864198</v>
      </c>
      <c r="J336" s="45">
        <f t="shared" si="23"/>
        <v>2.5423902464013159E-2</v>
      </c>
    </row>
    <row r="337" spans="1:10" x14ac:dyDescent="0.35">
      <c r="A337" s="1">
        <v>2005</v>
      </c>
      <c r="B337" t="s">
        <v>4</v>
      </c>
      <c r="C337">
        <v>79</v>
      </c>
      <c r="D337">
        <v>83</v>
      </c>
      <c r="E337">
        <v>703</v>
      </c>
      <c r="F337">
        <v>714</v>
      </c>
      <c r="G337" s="45">
        <f t="shared" si="21"/>
        <v>0.98459383753501406</v>
      </c>
      <c r="H337" s="45">
        <f t="shared" si="20"/>
        <v>0.49223758845822485</v>
      </c>
      <c r="I337" s="45">
        <f t="shared" si="22"/>
        <v>0.48765432098765432</v>
      </c>
      <c r="J337" s="45">
        <f t="shared" si="23"/>
        <v>4.583267470570529E-3</v>
      </c>
    </row>
    <row r="338" spans="1:10" x14ac:dyDescent="0.35">
      <c r="A338" s="1">
        <v>2005</v>
      </c>
      <c r="B338" t="s">
        <v>5</v>
      </c>
      <c r="C338">
        <v>99</v>
      </c>
      <c r="D338">
        <v>63</v>
      </c>
      <c r="E338">
        <v>741</v>
      </c>
      <c r="F338">
        <v>645</v>
      </c>
      <c r="G338" s="45">
        <f t="shared" si="21"/>
        <v>1.1488372093023256</v>
      </c>
      <c r="H338" s="45">
        <f t="shared" si="20"/>
        <v>0.56893336068784151</v>
      </c>
      <c r="I338" s="45">
        <f t="shared" si="22"/>
        <v>0.61111111111111116</v>
      </c>
      <c r="J338" s="45">
        <f t="shared" si="23"/>
        <v>4.2177750423269655E-2</v>
      </c>
    </row>
    <row r="339" spans="1:10" x14ac:dyDescent="0.35">
      <c r="A339" s="1">
        <v>2005</v>
      </c>
      <c r="B339" t="s">
        <v>6</v>
      </c>
      <c r="C339">
        <v>73</v>
      </c>
      <c r="D339">
        <v>89</v>
      </c>
      <c r="E339">
        <v>820</v>
      </c>
      <c r="F339">
        <v>889</v>
      </c>
      <c r="G339" s="45">
        <f t="shared" si="21"/>
        <v>0.92238470191226096</v>
      </c>
      <c r="H339" s="45">
        <f t="shared" si="20"/>
        <v>0.45969121930976581</v>
      </c>
      <c r="I339" s="45">
        <f t="shared" si="22"/>
        <v>0.45061728395061729</v>
      </c>
      <c r="J339" s="45">
        <f t="shared" si="23"/>
        <v>9.0739353591485217E-3</v>
      </c>
    </row>
    <row r="340" spans="1:10" x14ac:dyDescent="0.35">
      <c r="A340" s="1">
        <v>2005</v>
      </c>
      <c r="B340" t="s">
        <v>7</v>
      </c>
      <c r="C340">
        <v>93</v>
      </c>
      <c r="D340">
        <v>69</v>
      </c>
      <c r="E340">
        <v>790</v>
      </c>
      <c r="F340">
        <v>642</v>
      </c>
      <c r="G340" s="45">
        <f t="shared" si="21"/>
        <v>1.2305295950155763</v>
      </c>
      <c r="H340" s="45">
        <f t="shared" si="20"/>
        <v>0.6022596558405966</v>
      </c>
      <c r="I340" s="45">
        <f t="shared" si="22"/>
        <v>0.57407407407407407</v>
      </c>
      <c r="J340" s="45">
        <f t="shared" si="23"/>
        <v>2.8185581766522527E-2</v>
      </c>
    </row>
    <row r="341" spans="1:10" x14ac:dyDescent="0.35">
      <c r="A341" s="1">
        <v>2005</v>
      </c>
      <c r="B341" t="s">
        <v>8</v>
      </c>
      <c r="C341">
        <v>67</v>
      </c>
      <c r="D341">
        <v>95</v>
      </c>
      <c r="E341">
        <v>740</v>
      </c>
      <c r="F341">
        <v>862</v>
      </c>
      <c r="G341" s="45">
        <f t="shared" si="21"/>
        <v>0.85846867749419953</v>
      </c>
      <c r="H341" s="45">
        <f t="shared" si="20"/>
        <v>0.42428431077818513</v>
      </c>
      <c r="I341" s="45">
        <f t="shared" si="22"/>
        <v>0.41358024691358025</v>
      </c>
      <c r="J341" s="45">
        <f t="shared" si="23"/>
        <v>1.0704063864604874E-2</v>
      </c>
    </row>
    <row r="342" spans="1:10" x14ac:dyDescent="0.35">
      <c r="A342" s="1">
        <v>2005</v>
      </c>
      <c r="B342" t="s">
        <v>9</v>
      </c>
      <c r="C342">
        <v>71</v>
      </c>
      <c r="D342">
        <v>91</v>
      </c>
      <c r="E342">
        <v>723</v>
      </c>
      <c r="F342">
        <v>787</v>
      </c>
      <c r="G342" s="45">
        <f t="shared" si="21"/>
        <v>0.91867852604828459</v>
      </c>
      <c r="H342" s="45">
        <f t="shared" si="20"/>
        <v>0.45769189684247757</v>
      </c>
      <c r="I342" s="45">
        <f t="shared" si="22"/>
        <v>0.43827160493827161</v>
      </c>
      <c r="J342" s="45">
        <f t="shared" si="23"/>
        <v>1.9420291904205966E-2</v>
      </c>
    </row>
    <row r="343" spans="1:10" x14ac:dyDescent="0.35">
      <c r="A343" s="1">
        <v>2005</v>
      </c>
      <c r="B343" t="s">
        <v>43</v>
      </c>
      <c r="C343">
        <v>83</v>
      </c>
      <c r="D343">
        <v>79</v>
      </c>
      <c r="E343">
        <v>717</v>
      </c>
      <c r="F343">
        <v>732</v>
      </c>
      <c r="G343" s="45">
        <f t="shared" si="21"/>
        <v>0.97950819672131151</v>
      </c>
      <c r="H343" s="45">
        <f t="shared" si="20"/>
        <v>0.48964914235750961</v>
      </c>
      <c r="I343" s="45">
        <f t="shared" si="22"/>
        <v>0.51234567901234573</v>
      </c>
      <c r="J343" s="45">
        <f t="shared" si="23"/>
        <v>2.2696536654836119E-2</v>
      </c>
    </row>
    <row r="344" spans="1:10" x14ac:dyDescent="0.35">
      <c r="A344" s="1">
        <v>2005</v>
      </c>
      <c r="B344" t="s">
        <v>10</v>
      </c>
      <c r="C344">
        <v>89</v>
      </c>
      <c r="D344">
        <v>73</v>
      </c>
      <c r="E344">
        <v>693</v>
      </c>
      <c r="F344">
        <v>609</v>
      </c>
      <c r="G344" s="45">
        <f t="shared" si="21"/>
        <v>1.1379310344827587</v>
      </c>
      <c r="H344" s="45">
        <f t="shared" si="20"/>
        <v>0.56424870466321242</v>
      </c>
      <c r="I344" s="45">
        <f t="shared" si="22"/>
        <v>0.54938271604938271</v>
      </c>
      <c r="J344" s="45">
        <f t="shared" si="23"/>
        <v>1.4865988613829706E-2</v>
      </c>
    </row>
    <row r="345" spans="1:10" x14ac:dyDescent="0.35">
      <c r="A345" s="1">
        <v>2005</v>
      </c>
      <c r="B345" t="s">
        <v>11</v>
      </c>
      <c r="C345">
        <v>56</v>
      </c>
      <c r="D345">
        <v>106</v>
      </c>
      <c r="E345">
        <v>701</v>
      </c>
      <c r="F345">
        <v>935</v>
      </c>
      <c r="G345" s="45">
        <f t="shared" si="21"/>
        <v>0.74973262032085564</v>
      </c>
      <c r="H345" s="45">
        <f t="shared" si="20"/>
        <v>0.35983570904478979</v>
      </c>
      <c r="I345" s="45">
        <f t="shared" si="22"/>
        <v>0.34567901234567899</v>
      </c>
      <c r="J345" s="45">
        <f t="shared" si="23"/>
        <v>1.4156696699110793E-2</v>
      </c>
    </row>
    <row r="346" spans="1:10" x14ac:dyDescent="0.35">
      <c r="A346" s="1">
        <v>2005</v>
      </c>
      <c r="B346" t="s">
        <v>12</v>
      </c>
      <c r="C346">
        <v>95</v>
      </c>
      <c r="D346">
        <v>67</v>
      </c>
      <c r="E346">
        <v>761</v>
      </c>
      <c r="F346">
        <v>643</v>
      </c>
      <c r="G346" s="45">
        <f t="shared" si="21"/>
        <v>1.1835147744945567</v>
      </c>
      <c r="H346" s="45">
        <f t="shared" si="20"/>
        <v>0.58345607866447702</v>
      </c>
      <c r="I346" s="45">
        <f t="shared" si="22"/>
        <v>0.5864197530864198</v>
      </c>
      <c r="J346" s="45">
        <f t="shared" si="23"/>
        <v>2.9636744219427857E-3</v>
      </c>
    </row>
    <row r="347" spans="1:10" x14ac:dyDescent="0.35">
      <c r="A347" s="1">
        <v>2005</v>
      </c>
      <c r="B347" t="s">
        <v>13</v>
      </c>
      <c r="C347">
        <v>71</v>
      </c>
      <c r="D347">
        <v>91</v>
      </c>
      <c r="E347">
        <v>685</v>
      </c>
      <c r="F347">
        <v>755</v>
      </c>
      <c r="G347" s="45">
        <f t="shared" si="21"/>
        <v>0.9072847682119205</v>
      </c>
      <c r="H347" s="45">
        <f t="shared" si="20"/>
        <v>0.45150348809237428</v>
      </c>
      <c r="I347" s="45">
        <f t="shared" si="22"/>
        <v>0.43827160493827161</v>
      </c>
      <c r="J347" s="45">
        <f t="shared" si="23"/>
        <v>1.3231883154102675E-2</v>
      </c>
    </row>
    <row r="348" spans="1:10" x14ac:dyDescent="0.35">
      <c r="A348" s="1">
        <v>2005</v>
      </c>
      <c r="B348" t="s">
        <v>15</v>
      </c>
      <c r="C348">
        <v>81</v>
      </c>
      <c r="D348">
        <v>81</v>
      </c>
      <c r="E348">
        <v>726</v>
      </c>
      <c r="F348">
        <v>697</v>
      </c>
      <c r="G348" s="45">
        <f t="shared" si="21"/>
        <v>1.0416068866571018</v>
      </c>
      <c r="H348" s="45">
        <f t="shared" si="20"/>
        <v>0.52037101941483965</v>
      </c>
      <c r="I348" s="45">
        <f t="shared" si="22"/>
        <v>0.5</v>
      </c>
      <c r="J348" s="45">
        <f t="shared" si="23"/>
        <v>2.0371019414839653E-2</v>
      </c>
    </row>
    <row r="349" spans="1:10" x14ac:dyDescent="0.35">
      <c r="A349" s="1">
        <v>2005</v>
      </c>
      <c r="B349" t="s">
        <v>16</v>
      </c>
      <c r="C349">
        <v>83</v>
      </c>
      <c r="D349">
        <v>79</v>
      </c>
      <c r="E349">
        <v>688</v>
      </c>
      <c r="F349">
        <v>662</v>
      </c>
      <c r="G349" s="45">
        <f t="shared" si="21"/>
        <v>1.0392749244712991</v>
      </c>
      <c r="H349" s="45">
        <f t="shared" ref="H349:H362" si="24">(G349^2)/((G349^2)+1)</f>
        <v>0.51925211828150442</v>
      </c>
      <c r="I349" s="45">
        <f t="shared" si="22"/>
        <v>0.51234567901234573</v>
      </c>
      <c r="J349" s="45">
        <f t="shared" si="23"/>
        <v>6.9064392691586818E-3</v>
      </c>
    </row>
    <row r="350" spans="1:10" x14ac:dyDescent="0.35">
      <c r="A350" s="1">
        <v>2005</v>
      </c>
      <c r="B350" t="s">
        <v>17</v>
      </c>
      <c r="C350">
        <v>83</v>
      </c>
      <c r="D350">
        <v>79</v>
      </c>
      <c r="E350">
        <v>722</v>
      </c>
      <c r="F350">
        <v>648</v>
      </c>
      <c r="G350" s="45">
        <f t="shared" si="21"/>
        <v>1.1141975308641976</v>
      </c>
      <c r="H350" s="45">
        <f t="shared" si="24"/>
        <v>0.55385746524605084</v>
      </c>
      <c r="I350" s="45">
        <f t="shared" si="22"/>
        <v>0.51234567901234573</v>
      </c>
      <c r="J350" s="45">
        <f t="shared" si="23"/>
        <v>4.1511786233705106E-2</v>
      </c>
    </row>
    <row r="351" spans="1:10" x14ac:dyDescent="0.35">
      <c r="A351" s="1">
        <v>2005</v>
      </c>
      <c r="B351" t="s">
        <v>18</v>
      </c>
      <c r="C351">
        <v>95</v>
      </c>
      <c r="D351">
        <v>67</v>
      </c>
      <c r="E351">
        <v>886</v>
      </c>
      <c r="F351">
        <v>789</v>
      </c>
      <c r="G351" s="45">
        <f t="shared" si="21"/>
        <v>1.1229404309252218</v>
      </c>
      <c r="H351" s="45">
        <f t="shared" si="24"/>
        <v>0.55771688725606872</v>
      </c>
      <c r="I351" s="45">
        <f t="shared" si="22"/>
        <v>0.5864197530864198</v>
      </c>
      <c r="J351" s="45">
        <f t="shared" si="23"/>
        <v>2.8702865830351088E-2</v>
      </c>
    </row>
    <row r="352" spans="1:10" x14ac:dyDescent="0.35">
      <c r="A352" s="1">
        <v>2005</v>
      </c>
      <c r="B352" t="s">
        <v>19</v>
      </c>
      <c r="C352">
        <v>88</v>
      </c>
      <c r="D352">
        <v>74</v>
      </c>
      <c r="E352">
        <v>772</v>
      </c>
      <c r="F352">
        <v>658</v>
      </c>
      <c r="G352" s="45">
        <f t="shared" si="21"/>
        <v>1.1732522796352585</v>
      </c>
      <c r="H352" s="45">
        <f t="shared" si="24"/>
        <v>0.57921683117125466</v>
      </c>
      <c r="I352" s="45">
        <f t="shared" si="22"/>
        <v>0.54320987654320985</v>
      </c>
      <c r="J352" s="45">
        <f t="shared" si="23"/>
        <v>3.6006954628044818E-2</v>
      </c>
    </row>
    <row r="353" spans="1:10" x14ac:dyDescent="0.35">
      <c r="A353" s="1">
        <v>2005</v>
      </c>
      <c r="B353" t="s">
        <v>20</v>
      </c>
      <c r="C353">
        <v>88</v>
      </c>
      <c r="D353">
        <v>74</v>
      </c>
      <c r="E353">
        <v>807</v>
      </c>
      <c r="F353">
        <v>726</v>
      </c>
      <c r="G353" s="45">
        <f t="shared" si="21"/>
        <v>1.1115702479338843</v>
      </c>
      <c r="H353" s="45">
        <f t="shared" si="24"/>
        <v>0.55269047164407104</v>
      </c>
      <c r="I353" s="45">
        <f t="shared" si="22"/>
        <v>0.54320987654320985</v>
      </c>
      <c r="J353" s="45">
        <f t="shared" si="23"/>
        <v>9.4805951008611888E-3</v>
      </c>
    </row>
    <row r="354" spans="1:10" x14ac:dyDescent="0.35">
      <c r="A354" s="1">
        <v>2005</v>
      </c>
      <c r="B354" t="s">
        <v>21</v>
      </c>
      <c r="C354">
        <v>67</v>
      </c>
      <c r="D354">
        <v>95</v>
      </c>
      <c r="E354">
        <v>680</v>
      </c>
      <c r="F354">
        <v>769</v>
      </c>
      <c r="G354" s="45">
        <f t="shared" si="21"/>
        <v>0.88426527958387513</v>
      </c>
      <c r="H354" s="45">
        <f t="shared" si="24"/>
        <v>0.43880917969065092</v>
      </c>
      <c r="I354" s="45">
        <f t="shared" si="22"/>
        <v>0.41358024691358025</v>
      </c>
      <c r="J354" s="45">
        <f t="shared" si="23"/>
        <v>2.5228932777070667E-2</v>
      </c>
    </row>
    <row r="355" spans="1:10" x14ac:dyDescent="0.35">
      <c r="A355" s="1">
        <v>2005</v>
      </c>
      <c r="B355" t="s">
        <v>22</v>
      </c>
      <c r="C355">
        <v>82</v>
      </c>
      <c r="D355">
        <v>80</v>
      </c>
      <c r="E355">
        <v>684</v>
      </c>
      <c r="F355">
        <v>726</v>
      </c>
      <c r="G355" s="45">
        <f t="shared" si="21"/>
        <v>0.94214876033057848</v>
      </c>
      <c r="H355" s="45">
        <f t="shared" si="24"/>
        <v>0.47023917212432609</v>
      </c>
      <c r="I355" s="45">
        <f t="shared" si="22"/>
        <v>0.50617283950617287</v>
      </c>
      <c r="J355" s="45">
        <f t="shared" si="23"/>
        <v>3.5933667381846779E-2</v>
      </c>
    </row>
    <row r="356" spans="1:10" x14ac:dyDescent="0.35">
      <c r="A356" s="1">
        <v>2005</v>
      </c>
      <c r="B356" t="s">
        <v>23</v>
      </c>
      <c r="C356">
        <v>69</v>
      </c>
      <c r="D356">
        <v>93</v>
      </c>
      <c r="E356">
        <v>699</v>
      </c>
      <c r="F356">
        <v>751</v>
      </c>
      <c r="G356" s="45">
        <f t="shared" si="21"/>
        <v>0.93075898801597867</v>
      </c>
      <c r="H356" s="45">
        <f t="shared" si="24"/>
        <v>0.46418399357021933</v>
      </c>
      <c r="I356" s="45">
        <f t="shared" si="22"/>
        <v>0.42592592592592593</v>
      </c>
      <c r="J356" s="45">
        <f t="shared" si="23"/>
        <v>3.8258067644293403E-2</v>
      </c>
    </row>
    <row r="357" spans="1:10" x14ac:dyDescent="0.35">
      <c r="A357" s="1">
        <v>2005</v>
      </c>
      <c r="B357" t="s">
        <v>24</v>
      </c>
      <c r="C357">
        <v>75</v>
      </c>
      <c r="D357">
        <v>87</v>
      </c>
      <c r="E357">
        <v>649</v>
      </c>
      <c r="F357">
        <v>745</v>
      </c>
      <c r="G357" s="45">
        <f t="shared" si="21"/>
        <v>0.87114093959731542</v>
      </c>
      <c r="H357" s="45">
        <f t="shared" si="24"/>
        <v>0.43145849424211197</v>
      </c>
      <c r="I357" s="45">
        <f t="shared" si="22"/>
        <v>0.46296296296296297</v>
      </c>
      <c r="J357" s="45">
        <f t="shared" si="23"/>
        <v>3.1504468720850998E-2</v>
      </c>
    </row>
    <row r="358" spans="1:10" x14ac:dyDescent="0.35">
      <c r="A358" s="1">
        <v>2005</v>
      </c>
      <c r="B358" t="s">
        <v>25</v>
      </c>
      <c r="C358">
        <v>100</v>
      </c>
      <c r="D358">
        <v>62</v>
      </c>
      <c r="E358">
        <v>805</v>
      </c>
      <c r="F358">
        <v>634</v>
      </c>
      <c r="G358" s="45">
        <f t="shared" si="21"/>
        <v>1.2697160883280758</v>
      </c>
      <c r="H358" s="45">
        <f t="shared" si="24"/>
        <v>0.61717783464653164</v>
      </c>
      <c r="I358" s="45">
        <f t="shared" si="22"/>
        <v>0.61728395061728392</v>
      </c>
      <c r="J358" s="45">
        <f t="shared" si="23"/>
        <v>1.0611597075227408E-4</v>
      </c>
    </row>
    <row r="359" spans="1:10" x14ac:dyDescent="0.35">
      <c r="A359" s="1">
        <v>2005</v>
      </c>
      <c r="B359" t="s">
        <v>44</v>
      </c>
      <c r="C359">
        <v>67</v>
      </c>
      <c r="D359">
        <v>95</v>
      </c>
      <c r="E359">
        <v>750</v>
      </c>
      <c r="F359">
        <v>936</v>
      </c>
      <c r="G359" s="45">
        <f t="shared" si="21"/>
        <v>0.80128205128205132</v>
      </c>
      <c r="H359" s="45">
        <f t="shared" si="24"/>
        <v>0.39100623107529847</v>
      </c>
      <c r="I359" s="45">
        <f t="shared" si="22"/>
        <v>0.41358024691358025</v>
      </c>
      <c r="J359" s="45">
        <f t="shared" si="23"/>
        <v>2.257401583828178E-2</v>
      </c>
    </row>
    <row r="360" spans="1:10" x14ac:dyDescent="0.35">
      <c r="A360" s="1">
        <v>2005</v>
      </c>
      <c r="B360" t="s">
        <v>27</v>
      </c>
      <c r="C360">
        <v>79</v>
      </c>
      <c r="D360">
        <v>83</v>
      </c>
      <c r="E360">
        <v>865</v>
      </c>
      <c r="F360">
        <v>858</v>
      </c>
      <c r="G360" s="45">
        <f t="shared" si="21"/>
        <v>1.008158508158508</v>
      </c>
      <c r="H360" s="45">
        <f t="shared" si="24"/>
        <v>0.50406261431471133</v>
      </c>
      <c r="I360" s="45">
        <f t="shared" si="22"/>
        <v>0.48765432098765432</v>
      </c>
      <c r="J360" s="45">
        <f t="shared" si="23"/>
        <v>1.6408293327057011E-2</v>
      </c>
    </row>
    <row r="361" spans="1:10" x14ac:dyDescent="0.35">
      <c r="A361" s="1">
        <v>2005</v>
      </c>
      <c r="B361" t="s">
        <v>28</v>
      </c>
      <c r="C361">
        <v>80</v>
      </c>
      <c r="D361">
        <v>82</v>
      </c>
      <c r="E361">
        <v>775</v>
      </c>
      <c r="F361">
        <v>705</v>
      </c>
      <c r="G361" s="45">
        <f t="shared" si="21"/>
        <v>1.0992907801418439</v>
      </c>
      <c r="H361" s="45">
        <f t="shared" si="24"/>
        <v>0.54719172778207992</v>
      </c>
      <c r="I361" s="45">
        <f t="shared" si="22"/>
        <v>0.49382716049382713</v>
      </c>
      <c r="J361" s="45">
        <f t="shared" si="23"/>
        <v>5.3364567288252784E-2</v>
      </c>
    </row>
    <row r="362" spans="1:10" x14ac:dyDescent="0.35">
      <c r="A362" s="1">
        <v>2005</v>
      </c>
      <c r="B362" t="s">
        <v>29</v>
      </c>
      <c r="C362">
        <v>81</v>
      </c>
      <c r="D362">
        <v>81</v>
      </c>
      <c r="E362">
        <v>639</v>
      </c>
      <c r="F362">
        <v>673</v>
      </c>
      <c r="G362" s="45">
        <f t="shared" si="21"/>
        <v>0.94947994056463592</v>
      </c>
      <c r="H362" s="45">
        <f t="shared" si="24"/>
        <v>0.47410275761973875</v>
      </c>
      <c r="I362" s="45">
        <f t="shared" si="22"/>
        <v>0.5</v>
      </c>
      <c r="J362" s="45">
        <f t="shared" si="23"/>
        <v>2.5897242380261254E-2</v>
      </c>
    </row>
  </sheetData>
  <conditionalFormatting sqref="O2:O21">
    <cfRule type="top10" dxfId="1" priority="1" bottom="1" rank="1"/>
  </conditionalFormatting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3"/>
  <dimension ref="A1:K88"/>
  <sheetViews>
    <sheetView workbookViewId="0">
      <pane ySplit="1" topLeftCell="A2" activePane="bottomLeft" state="frozen"/>
      <selection pane="bottomLeft" activeCell="K83" sqref="K83"/>
    </sheetView>
  </sheetViews>
  <sheetFormatPr defaultRowHeight="14.5" x14ac:dyDescent="0.35"/>
  <cols>
    <col min="1" max="1" width="4.7265625" bestFit="1" customWidth="1"/>
    <col min="2" max="2" width="12.453125" bestFit="1" customWidth="1"/>
    <col min="3" max="4" width="11.7265625" bestFit="1" customWidth="1"/>
    <col min="5" max="5" width="10.81640625" bestFit="1" customWidth="1"/>
    <col min="6" max="7" width="11.7265625" bestFit="1" customWidth="1"/>
    <col min="8" max="8" width="8.08984375" bestFit="1" customWidth="1"/>
    <col min="9" max="9" width="11" bestFit="1" customWidth="1"/>
  </cols>
  <sheetData>
    <row r="1" spans="1:11" s="2" customFormat="1" x14ac:dyDescent="0.35">
      <c r="A1" s="2" t="s">
        <v>45</v>
      </c>
      <c r="B1" s="2" t="s">
        <v>46</v>
      </c>
      <c r="C1" s="2" t="s">
        <v>48</v>
      </c>
      <c r="D1" s="2" t="s">
        <v>30</v>
      </c>
      <c r="E1" s="2" t="s">
        <v>47</v>
      </c>
      <c r="F1" s="2" t="s">
        <v>48</v>
      </c>
      <c r="G1" s="2" t="s">
        <v>30</v>
      </c>
      <c r="H1" s="2" t="s">
        <v>50</v>
      </c>
      <c r="I1" s="2" t="s">
        <v>51</v>
      </c>
    </row>
    <row r="2" spans="1:11" x14ac:dyDescent="0.35">
      <c r="A2">
        <v>2016</v>
      </c>
      <c r="B2" t="s">
        <v>4</v>
      </c>
      <c r="C2">
        <v>0.63580246913580252</v>
      </c>
      <c r="D2">
        <v>1.4532374100719425</v>
      </c>
      <c r="E2" t="s">
        <v>7</v>
      </c>
      <c r="F2">
        <v>0.58024691358024694</v>
      </c>
      <c r="G2">
        <v>1.1494082840236686</v>
      </c>
      <c r="H2">
        <f t="shared" ref="H2:H4" si="0">IF(C2&gt;F2,1,0)</f>
        <v>1</v>
      </c>
      <c r="I2">
        <f t="shared" ref="I2:I4" si="1">IF(D2&gt;G2,1,0)</f>
        <v>1</v>
      </c>
      <c r="K2">
        <f t="shared" ref="K2:K4" si="2">C2/F2</f>
        <v>1.0957446808510638</v>
      </c>
    </row>
    <row r="3" spans="1:11" x14ac:dyDescent="0.35">
      <c r="A3">
        <v>2016</v>
      </c>
      <c r="B3" t="s">
        <v>7</v>
      </c>
      <c r="C3">
        <v>0.58024691358024694</v>
      </c>
      <c r="D3">
        <v>1.1494082840236686</v>
      </c>
      <c r="E3" t="s">
        <v>28</v>
      </c>
      <c r="F3">
        <v>0.54938271604938271</v>
      </c>
      <c r="G3">
        <v>1.1396396396396395</v>
      </c>
      <c r="H3">
        <f t="shared" si="0"/>
        <v>1</v>
      </c>
      <c r="I3">
        <f t="shared" si="1"/>
        <v>1</v>
      </c>
      <c r="K3">
        <f t="shared" si="2"/>
        <v>1.056179775280899</v>
      </c>
    </row>
    <row r="4" spans="1:11" x14ac:dyDescent="0.35">
      <c r="A4">
        <v>2016</v>
      </c>
      <c r="B4" t="s">
        <v>4</v>
      </c>
      <c r="C4">
        <v>0.63580246913580252</v>
      </c>
      <c r="D4">
        <v>1.4532374100719425</v>
      </c>
      <c r="E4" t="s">
        <v>13</v>
      </c>
      <c r="F4">
        <v>0.56172839506172845</v>
      </c>
      <c r="G4">
        <v>1.1363636363636365</v>
      </c>
      <c r="H4">
        <f t="shared" si="0"/>
        <v>1</v>
      </c>
      <c r="I4">
        <f t="shared" si="1"/>
        <v>1</v>
      </c>
      <c r="K4">
        <f t="shared" si="2"/>
        <v>1.1318681318681318</v>
      </c>
    </row>
    <row r="5" spans="1:11" x14ac:dyDescent="0.35">
      <c r="A5">
        <v>2016</v>
      </c>
      <c r="B5" t="s">
        <v>28</v>
      </c>
      <c r="C5">
        <v>0.54938271604938271</v>
      </c>
      <c r="D5">
        <v>1.1396396396396395</v>
      </c>
      <c r="E5" t="s">
        <v>27</v>
      </c>
      <c r="F5">
        <v>0.5864197530864198</v>
      </c>
      <c r="G5">
        <v>1.010568031704095</v>
      </c>
      <c r="H5">
        <f>IF(C5&gt;F5,1,0)</f>
        <v>0</v>
      </c>
      <c r="I5">
        <f>IF(D5&gt;G5,1,0)</f>
        <v>1</v>
      </c>
      <c r="K5">
        <f>C5/F5</f>
        <v>0.93684210526315781</v>
      </c>
    </row>
    <row r="6" spans="1:11" x14ac:dyDescent="0.35">
      <c r="A6">
        <v>2016</v>
      </c>
      <c r="B6" t="s">
        <v>7</v>
      </c>
      <c r="C6">
        <v>0.58024691358024694</v>
      </c>
      <c r="D6">
        <v>1.1494082840236686</v>
      </c>
      <c r="E6" t="s">
        <v>3</v>
      </c>
      <c r="F6">
        <v>0.57407407407407407</v>
      </c>
      <c r="G6">
        <v>1.2651296829971181</v>
      </c>
      <c r="H6">
        <f t="shared" ref="H6:H66" si="3">IF(C6&gt;F6,1,0)</f>
        <v>1</v>
      </c>
      <c r="I6">
        <f t="shared" ref="I6:I66" si="4">IF(D6&gt;G6,1,0)</f>
        <v>0</v>
      </c>
      <c r="K6">
        <f t="shared" ref="K6:K66" si="5">C6/F6</f>
        <v>1.010752688172043</v>
      </c>
    </row>
    <row r="7" spans="1:11" x14ac:dyDescent="0.35">
      <c r="A7">
        <v>2016</v>
      </c>
      <c r="B7" t="s">
        <v>4</v>
      </c>
      <c r="C7">
        <v>0.63580246913580252</v>
      </c>
      <c r="D7">
        <v>1.4532374100719425</v>
      </c>
      <c r="E7" t="s">
        <v>24</v>
      </c>
      <c r="F7">
        <v>0.53703703703703709</v>
      </c>
      <c r="G7">
        <v>1.133122028526149</v>
      </c>
      <c r="H7">
        <f t="shared" si="3"/>
        <v>1</v>
      </c>
      <c r="I7">
        <f t="shared" si="4"/>
        <v>1</v>
      </c>
      <c r="K7">
        <f t="shared" si="5"/>
        <v>1.1839080459770115</v>
      </c>
    </row>
    <row r="8" spans="1:11" x14ac:dyDescent="0.35">
      <c r="A8">
        <v>2016</v>
      </c>
      <c r="B8" t="s">
        <v>13</v>
      </c>
      <c r="C8">
        <v>0.56172839506172845</v>
      </c>
      <c r="D8">
        <v>1.1363636363636365</v>
      </c>
      <c r="E8" t="s">
        <v>29</v>
      </c>
      <c r="F8">
        <v>0.5864197530864198</v>
      </c>
      <c r="G8">
        <v>1.2467320261437909</v>
      </c>
      <c r="H8">
        <f t="shared" si="3"/>
        <v>0</v>
      </c>
      <c r="I8">
        <f t="shared" si="4"/>
        <v>0</v>
      </c>
      <c r="K8">
        <f t="shared" si="5"/>
        <v>0.95789473684210524</v>
      </c>
    </row>
    <row r="9" spans="1:11" x14ac:dyDescent="0.35">
      <c r="A9">
        <v>2015</v>
      </c>
      <c r="B9" t="s">
        <v>11</v>
      </c>
      <c r="C9">
        <v>0.5864197530864198</v>
      </c>
      <c r="D9">
        <v>1.1294851794071763</v>
      </c>
      <c r="E9" t="s">
        <v>17</v>
      </c>
      <c r="F9">
        <v>0.55555555555555558</v>
      </c>
      <c r="G9">
        <v>1.1141924959216967</v>
      </c>
      <c r="H9">
        <f t="shared" si="3"/>
        <v>1</v>
      </c>
      <c r="I9">
        <f t="shared" si="4"/>
        <v>1</v>
      </c>
      <c r="K9">
        <f t="shared" si="5"/>
        <v>1.0555555555555556</v>
      </c>
    </row>
    <row r="10" spans="1:11" x14ac:dyDescent="0.35">
      <c r="A10">
        <v>2015</v>
      </c>
      <c r="B10" t="s">
        <v>11</v>
      </c>
      <c r="C10">
        <v>0.5864197530864198</v>
      </c>
      <c r="D10">
        <v>1.1294851794071763</v>
      </c>
      <c r="E10" t="s">
        <v>28</v>
      </c>
      <c r="F10">
        <v>0.57407407407407407</v>
      </c>
      <c r="G10">
        <v>1.3298507462686566</v>
      </c>
      <c r="H10">
        <f t="shared" si="3"/>
        <v>1</v>
      </c>
      <c r="I10">
        <f t="shared" si="4"/>
        <v>0</v>
      </c>
      <c r="K10">
        <f t="shared" si="5"/>
        <v>1.0215053763440862</v>
      </c>
    </row>
    <row r="11" spans="1:11" x14ac:dyDescent="0.35">
      <c r="A11">
        <v>2015</v>
      </c>
      <c r="B11" t="s">
        <v>17</v>
      </c>
      <c r="C11">
        <v>0.55555555555555558</v>
      </c>
      <c r="D11">
        <v>1.1141924959216967</v>
      </c>
      <c r="E11" t="s">
        <v>4</v>
      </c>
      <c r="F11">
        <v>0.59876543209876543</v>
      </c>
      <c r="G11">
        <v>1.1332236842105263</v>
      </c>
      <c r="H11">
        <f t="shared" si="3"/>
        <v>0</v>
      </c>
      <c r="I11">
        <f t="shared" si="4"/>
        <v>0</v>
      </c>
      <c r="K11">
        <f t="shared" si="5"/>
        <v>0.92783505154639179</v>
      </c>
    </row>
    <row r="12" spans="1:11" x14ac:dyDescent="0.35">
      <c r="A12">
        <v>2015</v>
      </c>
      <c r="B12" t="s">
        <v>11</v>
      </c>
      <c r="C12">
        <v>0.5864197530864198</v>
      </c>
      <c r="D12">
        <v>1.1294851794071763</v>
      </c>
      <c r="E12" t="s">
        <v>10</v>
      </c>
      <c r="F12">
        <v>0.53086419753086422</v>
      </c>
      <c r="G12">
        <v>1.1796116504854368</v>
      </c>
      <c r="H12">
        <f t="shared" si="3"/>
        <v>1</v>
      </c>
      <c r="I12">
        <f t="shared" si="4"/>
        <v>0</v>
      </c>
      <c r="K12">
        <f t="shared" si="5"/>
        <v>1.1046511627906976</v>
      </c>
    </row>
    <row r="13" spans="1:11" x14ac:dyDescent="0.35">
      <c r="A13">
        <v>2015</v>
      </c>
      <c r="B13" t="s">
        <v>28</v>
      </c>
      <c r="C13">
        <v>0.57407407407407407</v>
      </c>
      <c r="D13">
        <v>1.3298507462686566</v>
      </c>
      <c r="E13" t="s">
        <v>27</v>
      </c>
      <c r="F13">
        <v>0.54320987654320985</v>
      </c>
      <c r="G13">
        <v>1.0245566166439291</v>
      </c>
      <c r="H13">
        <f t="shared" si="3"/>
        <v>1</v>
      </c>
      <c r="I13">
        <f t="shared" si="4"/>
        <v>1</v>
      </c>
      <c r="K13">
        <f t="shared" si="5"/>
        <v>1.0568181818181819</v>
      </c>
    </row>
    <row r="14" spans="1:11" x14ac:dyDescent="0.35">
      <c r="A14">
        <v>2015</v>
      </c>
      <c r="B14" t="s">
        <v>4</v>
      </c>
      <c r="C14">
        <v>0.59876543209876543</v>
      </c>
      <c r="D14">
        <v>1.1332236842105263</v>
      </c>
      <c r="E14" t="s">
        <v>25</v>
      </c>
      <c r="F14">
        <v>0.61728395061728392</v>
      </c>
      <c r="G14">
        <v>1.2323809523809524</v>
      </c>
      <c r="H14">
        <f t="shared" si="3"/>
        <v>0</v>
      </c>
      <c r="I14">
        <f t="shared" si="4"/>
        <v>0</v>
      </c>
      <c r="K14">
        <f t="shared" si="5"/>
        <v>0.97000000000000008</v>
      </c>
    </row>
    <row r="15" spans="1:11" x14ac:dyDescent="0.35">
      <c r="A15">
        <v>2015</v>
      </c>
      <c r="B15" t="s">
        <v>17</v>
      </c>
      <c r="C15">
        <v>0.55555555555555558</v>
      </c>
      <c r="D15">
        <v>1.1141924959216967</v>
      </c>
      <c r="E15" t="s">
        <v>13</v>
      </c>
      <c r="F15">
        <v>0.5679012345679012</v>
      </c>
      <c r="G15">
        <v>1.1210084033613446</v>
      </c>
      <c r="H15">
        <f t="shared" si="3"/>
        <v>0</v>
      </c>
      <c r="I15">
        <f t="shared" si="4"/>
        <v>0</v>
      </c>
      <c r="K15">
        <f t="shared" si="5"/>
        <v>0.97826086956521752</v>
      </c>
    </row>
    <row r="16" spans="1:11" x14ac:dyDescent="0.35">
      <c r="A16">
        <v>2014</v>
      </c>
      <c r="B16" t="s">
        <v>24</v>
      </c>
      <c r="C16">
        <v>0.54320987654320985</v>
      </c>
      <c r="D16">
        <v>1.0830618892508144</v>
      </c>
      <c r="E16" t="s">
        <v>11</v>
      </c>
      <c r="F16">
        <v>0.54938271604938271</v>
      </c>
      <c r="G16">
        <v>1.0432692307692308</v>
      </c>
      <c r="H16">
        <f t="shared" si="3"/>
        <v>0</v>
      </c>
      <c r="I16">
        <f t="shared" si="4"/>
        <v>1</v>
      </c>
      <c r="K16">
        <f t="shared" si="5"/>
        <v>0.9887640449438202</v>
      </c>
    </row>
    <row r="17" spans="1:11" x14ac:dyDescent="0.35">
      <c r="A17">
        <v>2014</v>
      </c>
      <c r="B17" t="s">
        <v>11</v>
      </c>
      <c r="C17">
        <v>0.54938271604938271</v>
      </c>
      <c r="D17">
        <v>1.0432692307692308</v>
      </c>
      <c r="E17" t="s">
        <v>2</v>
      </c>
      <c r="F17">
        <v>0.59259259259259256</v>
      </c>
      <c r="G17">
        <v>1.1888701517706577</v>
      </c>
      <c r="H17">
        <f t="shared" si="3"/>
        <v>0</v>
      </c>
      <c r="I17">
        <f t="shared" si="4"/>
        <v>0</v>
      </c>
      <c r="K17">
        <f t="shared" si="5"/>
        <v>0.92708333333333337</v>
      </c>
    </row>
    <row r="18" spans="1:11" x14ac:dyDescent="0.35">
      <c r="A18">
        <v>2014</v>
      </c>
      <c r="B18" t="s">
        <v>24</v>
      </c>
      <c r="C18">
        <v>0.54320987654320985</v>
      </c>
      <c r="D18">
        <v>1.0830618892508144</v>
      </c>
      <c r="E18" t="s">
        <v>25</v>
      </c>
      <c r="F18">
        <v>0.55555555555555558</v>
      </c>
      <c r="G18">
        <v>1.0265339966832505</v>
      </c>
      <c r="H18">
        <f t="shared" si="3"/>
        <v>0</v>
      </c>
      <c r="I18">
        <f t="shared" si="4"/>
        <v>1</v>
      </c>
      <c r="K18">
        <f t="shared" si="5"/>
        <v>0.97777777777777763</v>
      </c>
    </row>
    <row r="19" spans="1:11" x14ac:dyDescent="0.35">
      <c r="A19">
        <v>2014</v>
      </c>
      <c r="B19" t="s">
        <v>11</v>
      </c>
      <c r="C19">
        <v>0.54938271604938271</v>
      </c>
      <c r="D19">
        <v>1.0432692307692308</v>
      </c>
      <c r="E19" t="s">
        <v>12</v>
      </c>
      <c r="F19">
        <v>0.60493827160493829</v>
      </c>
      <c r="G19">
        <v>1.2269841269841271</v>
      </c>
      <c r="H19">
        <f t="shared" si="3"/>
        <v>0</v>
      </c>
      <c r="I19">
        <f t="shared" si="4"/>
        <v>0</v>
      </c>
      <c r="K19">
        <f t="shared" si="5"/>
        <v>0.90816326530612246</v>
      </c>
    </row>
    <row r="20" spans="1:11" x14ac:dyDescent="0.35">
      <c r="A20">
        <v>2014</v>
      </c>
      <c r="B20" t="s">
        <v>2</v>
      </c>
      <c r="C20">
        <v>0.59259259259259256</v>
      </c>
      <c r="D20">
        <v>1.1888701517706577</v>
      </c>
      <c r="E20" t="s">
        <v>9</v>
      </c>
      <c r="F20">
        <v>0.55555555555555558</v>
      </c>
      <c r="G20">
        <v>1.0737588652482271</v>
      </c>
      <c r="H20">
        <f t="shared" si="3"/>
        <v>1</v>
      </c>
      <c r="I20">
        <f t="shared" si="4"/>
        <v>1</v>
      </c>
      <c r="K20">
        <f t="shared" si="5"/>
        <v>1.0666666666666667</v>
      </c>
    </row>
    <row r="21" spans="1:11" x14ac:dyDescent="0.35">
      <c r="A21">
        <v>2014</v>
      </c>
      <c r="B21" t="s">
        <v>24</v>
      </c>
      <c r="C21">
        <v>0.54320987654320985</v>
      </c>
      <c r="D21">
        <v>1.0830618892508144</v>
      </c>
      <c r="E21" t="s">
        <v>29</v>
      </c>
      <c r="F21">
        <v>0.59259259259259256</v>
      </c>
      <c r="G21">
        <v>1.2360360360360361</v>
      </c>
      <c r="H21">
        <f t="shared" si="3"/>
        <v>0</v>
      </c>
      <c r="I21">
        <f t="shared" si="4"/>
        <v>0</v>
      </c>
      <c r="K21">
        <f t="shared" si="5"/>
        <v>0.91666666666666663</v>
      </c>
    </row>
    <row r="22" spans="1:11" x14ac:dyDescent="0.35">
      <c r="A22">
        <v>2014</v>
      </c>
      <c r="B22" t="s">
        <v>25</v>
      </c>
      <c r="C22">
        <v>0.55555555555555558</v>
      </c>
      <c r="D22">
        <v>1.0265339966832505</v>
      </c>
      <c r="E22" t="s">
        <v>13</v>
      </c>
      <c r="F22">
        <v>0.58024691358024694</v>
      </c>
      <c r="G22">
        <v>1.1636952998379255</v>
      </c>
      <c r="H22">
        <f t="shared" si="3"/>
        <v>0</v>
      </c>
      <c r="I22">
        <f t="shared" si="4"/>
        <v>0</v>
      </c>
      <c r="K22">
        <f t="shared" si="5"/>
        <v>0.95744680851063835</v>
      </c>
    </row>
    <row r="23" spans="1:11" x14ac:dyDescent="0.35">
      <c r="A23">
        <v>2013</v>
      </c>
      <c r="B23" t="s">
        <v>3</v>
      </c>
      <c r="C23">
        <v>0.59876543209876543</v>
      </c>
      <c r="D23">
        <v>1.3003048780487805</v>
      </c>
      <c r="E23" t="s">
        <v>9</v>
      </c>
      <c r="F23">
        <v>0.57407407407407407</v>
      </c>
      <c r="G23">
        <v>1.2756410256410255</v>
      </c>
      <c r="H23">
        <f t="shared" si="3"/>
        <v>1</v>
      </c>
      <c r="I23">
        <f t="shared" si="4"/>
        <v>1</v>
      </c>
      <c r="K23">
        <f t="shared" si="5"/>
        <v>1.043010752688172</v>
      </c>
    </row>
    <row r="24" spans="1:11" x14ac:dyDescent="0.35">
      <c r="A24">
        <v>2013</v>
      </c>
      <c r="B24" t="s">
        <v>25</v>
      </c>
      <c r="C24">
        <v>0.59876543209876543</v>
      </c>
      <c r="D24">
        <v>1.313758389261745</v>
      </c>
      <c r="E24" t="s">
        <v>13</v>
      </c>
      <c r="F24">
        <v>0.5679012345679012</v>
      </c>
      <c r="G24">
        <v>1.1151202749140894</v>
      </c>
      <c r="H24">
        <f t="shared" si="3"/>
        <v>1</v>
      </c>
      <c r="I24">
        <f t="shared" si="4"/>
        <v>1</v>
      </c>
      <c r="K24">
        <f t="shared" si="5"/>
        <v>1.0543478260869565</v>
      </c>
    </row>
    <row r="25" spans="1:11" x14ac:dyDescent="0.35">
      <c r="A25">
        <v>2013</v>
      </c>
      <c r="B25" t="s">
        <v>3</v>
      </c>
      <c r="C25">
        <v>0.59876543209876543</v>
      </c>
      <c r="D25">
        <v>1.3003048780487805</v>
      </c>
      <c r="E25" t="s">
        <v>26</v>
      </c>
      <c r="F25">
        <v>0.5679012345679012</v>
      </c>
      <c r="G25">
        <v>1.0835913312693499</v>
      </c>
      <c r="H25">
        <f t="shared" si="3"/>
        <v>1</v>
      </c>
      <c r="I25">
        <f t="shared" si="4"/>
        <v>1</v>
      </c>
      <c r="K25">
        <f t="shared" si="5"/>
        <v>1.0543478260869565</v>
      </c>
    </row>
    <row r="26" spans="1:11" x14ac:dyDescent="0.35">
      <c r="A26">
        <v>2013</v>
      </c>
      <c r="B26" t="s">
        <v>9</v>
      </c>
      <c r="C26">
        <v>0.57407407407407407</v>
      </c>
      <c r="D26">
        <v>1.2756410256410255</v>
      </c>
      <c r="E26" t="s">
        <v>19</v>
      </c>
      <c r="F26">
        <v>0.59259259259259256</v>
      </c>
      <c r="G26">
        <v>1.2272000000000001</v>
      </c>
      <c r="H26">
        <f t="shared" si="3"/>
        <v>0</v>
      </c>
      <c r="I26">
        <f t="shared" si="4"/>
        <v>1</v>
      </c>
      <c r="K26">
        <f t="shared" si="5"/>
        <v>0.96875</v>
      </c>
    </row>
    <row r="27" spans="1:11" x14ac:dyDescent="0.35">
      <c r="A27">
        <v>2013</v>
      </c>
      <c r="B27" t="s">
        <v>25</v>
      </c>
      <c r="C27">
        <v>0.59876543209876543</v>
      </c>
      <c r="D27">
        <v>1.313758389261745</v>
      </c>
      <c r="E27" t="s">
        <v>21</v>
      </c>
      <c r="F27">
        <v>0.58024691358024694</v>
      </c>
      <c r="G27">
        <v>1.098786828422877</v>
      </c>
      <c r="H27">
        <f t="shared" si="3"/>
        <v>1</v>
      </c>
      <c r="I27">
        <f t="shared" si="4"/>
        <v>1</v>
      </c>
      <c r="K27">
        <f t="shared" si="5"/>
        <v>1.0319148936170213</v>
      </c>
    </row>
    <row r="28" spans="1:11" x14ac:dyDescent="0.35">
      <c r="A28">
        <v>2013</v>
      </c>
      <c r="B28" t="s">
        <v>13</v>
      </c>
      <c r="C28">
        <v>0.5679012345679012</v>
      </c>
      <c r="D28">
        <v>1.1151202749140894</v>
      </c>
      <c r="E28" t="s">
        <v>1</v>
      </c>
      <c r="F28">
        <v>0.59259259259259256</v>
      </c>
      <c r="G28">
        <v>1.2554744525547445</v>
      </c>
      <c r="H28">
        <f t="shared" si="3"/>
        <v>0</v>
      </c>
      <c r="I28">
        <f t="shared" si="4"/>
        <v>0</v>
      </c>
      <c r="K28">
        <f t="shared" si="5"/>
        <v>0.95833333333333337</v>
      </c>
    </row>
    <row r="29" spans="1:11" x14ac:dyDescent="0.35">
      <c r="A29">
        <v>2012</v>
      </c>
      <c r="B29" t="s">
        <v>24</v>
      </c>
      <c r="C29">
        <v>0.58024691358024694</v>
      </c>
      <c r="D29">
        <v>1.1063174114021572</v>
      </c>
      <c r="E29" t="s">
        <v>9</v>
      </c>
      <c r="F29">
        <v>0.54320987654320985</v>
      </c>
      <c r="G29">
        <v>1.0835820895522388</v>
      </c>
      <c r="H29">
        <f t="shared" si="3"/>
        <v>1</v>
      </c>
      <c r="I29">
        <f t="shared" si="4"/>
        <v>1</v>
      </c>
      <c r="K29">
        <f t="shared" si="5"/>
        <v>1.0681818181818183</v>
      </c>
    </row>
    <row r="30" spans="1:11" x14ac:dyDescent="0.35">
      <c r="A30">
        <v>2012</v>
      </c>
      <c r="B30" t="s">
        <v>9</v>
      </c>
      <c r="C30">
        <v>0.54320987654320985</v>
      </c>
      <c r="D30">
        <v>1.0835820895522388</v>
      </c>
      <c r="E30" t="s">
        <v>18</v>
      </c>
      <c r="F30">
        <v>0.5864197530864198</v>
      </c>
      <c r="G30">
        <v>1.2035928143712575</v>
      </c>
      <c r="H30">
        <f t="shared" si="3"/>
        <v>0</v>
      </c>
      <c r="I30">
        <f t="shared" si="4"/>
        <v>0</v>
      </c>
      <c r="K30">
        <f t="shared" si="5"/>
        <v>0.92631578947368409</v>
      </c>
    </row>
    <row r="31" spans="1:11" x14ac:dyDescent="0.35">
      <c r="A31">
        <v>2012</v>
      </c>
      <c r="B31" t="s">
        <v>24</v>
      </c>
      <c r="C31">
        <v>0.58024691358024694</v>
      </c>
      <c r="D31">
        <v>1.1063174114021572</v>
      </c>
      <c r="E31" t="s">
        <v>25</v>
      </c>
      <c r="F31">
        <v>0.54320987654320985</v>
      </c>
      <c r="G31">
        <v>1.1805555555555556</v>
      </c>
      <c r="H31">
        <f t="shared" si="3"/>
        <v>1</v>
      </c>
      <c r="I31">
        <f t="shared" si="4"/>
        <v>0</v>
      </c>
      <c r="K31">
        <f t="shared" si="5"/>
        <v>1.0681818181818183</v>
      </c>
    </row>
    <row r="32" spans="1:11" x14ac:dyDescent="0.35">
      <c r="A32">
        <v>2012</v>
      </c>
      <c r="B32" t="s">
        <v>18</v>
      </c>
      <c r="C32">
        <v>0.5864197530864198</v>
      </c>
      <c r="D32">
        <v>1.2035928143712575</v>
      </c>
      <c r="E32" t="s">
        <v>2</v>
      </c>
      <c r="F32">
        <v>0.57407407407407407</v>
      </c>
      <c r="G32">
        <v>1.0099290780141843</v>
      </c>
      <c r="H32">
        <f t="shared" si="3"/>
        <v>1</v>
      </c>
      <c r="I32">
        <f t="shared" si="4"/>
        <v>1</v>
      </c>
      <c r="K32">
        <f t="shared" si="5"/>
        <v>1.0215053763440862</v>
      </c>
    </row>
    <row r="33" spans="1:11" x14ac:dyDescent="0.35">
      <c r="A33">
        <v>2012</v>
      </c>
      <c r="B33" t="s">
        <v>9</v>
      </c>
      <c r="C33">
        <v>0.54320987654320985</v>
      </c>
      <c r="D33">
        <v>1.0835820895522388</v>
      </c>
      <c r="E33" t="s">
        <v>19</v>
      </c>
      <c r="F33">
        <v>0.58024691358024694</v>
      </c>
      <c r="G33">
        <v>1.1612377850162867</v>
      </c>
      <c r="H33">
        <f t="shared" si="3"/>
        <v>0</v>
      </c>
      <c r="I33">
        <f t="shared" si="4"/>
        <v>0</v>
      </c>
      <c r="K33">
        <f t="shared" si="5"/>
        <v>0.93617021276595735</v>
      </c>
    </row>
    <row r="34" spans="1:11" x14ac:dyDescent="0.35">
      <c r="A34">
        <v>2012</v>
      </c>
      <c r="B34" t="s">
        <v>25</v>
      </c>
      <c r="C34">
        <v>0.54320987654320985</v>
      </c>
      <c r="D34">
        <v>1.1805555555555556</v>
      </c>
      <c r="E34" t="s">
        <v>29</v>
      </c>
      <c r="F34">
        <v>0.60493827160493829</v>
      </c>
      <c r="G34">
        <v>1.2306397306397305</v>
      </c>
      <c r="H34">
        <f t="shared" si="3"/>
        <v>0</v>
      </c>
      <c r="I34">
        <f t="shared" si="4"/>
        <v>0</v>
      </c>
      <c r="K34">
        <f t="shared" si="5"/>
        <v>0.89795918367346927</v>
      </c>
    </row>
    <row r="35" spans="1:11" x14ac:dyDescent="0.35">
      <c r="A35">
        <v>2012</v>
      </c>
      <c r="B35" t="s">
        <v>24</v>
      </c>
      <c r="C35">
        <v>0.58024691358024694</v>
      </c>
      <c r="D35">
        <v>1.1063174114021572</v>
      </c>
      <c r="E35" t="s">
        <v>6</v>
      </c>
      <c r="F35">
        <v>0.59876543209876543</v>
      </c>
      <c r="G35">
        <v>1.1377551020408163</v>
      </c>
      <c r="H35">
        <f t="shared" si="3"/>
        <v>0</v>
      </c>
      <c r="I35">
        <f t="shared" si="4"/>
        <v>0</v>
      </c>
      <c r="K35">
        <f t="shared" si="5"/>
        <v>0.96907216494845361</v>
      </c>
    </row>
    <row r="36" spans="1:11" x14ac:dyDescent="0.35">
      <c r="A36">
        <v>2011</v>
      </c>
      <c r="B36" t="s">
        <v>25</v>
      </c>
      <c r="C36">
        <v>0.55555555555555558</v>
      </c>
      <c r="D36">
        <v>1.1011560693641618</v>
      </c>
      <c r="E36" t="s">
        <v>27</v>
      </c>
      <c r="F36">
        <v>0.59259259259259256</v>
      </c>
      <c r="G36">
        <v>1.2629246676514032</v>
      </c>
      <c r="H36">
        <f t="shared" si="3"/>
        <v>0</v>
      </c>
      <c r="I36">
        <f t="shared" si="4"/>
        <v>0</v>
      </c>
      <c r="K36">
        <f t="shared" si="5"/>
        <v>0.93750000000000011</v>
      </c>
    </row>
    <row r="37" spans="1:11" x14ac:dyDescent="0.35">
      <c r="A37">
        <v>2011</v>
      </c>
      <c r="B37" t="s">
        <v>27</v>
      </c>
      <c r="C37">
        <v>0.59259259259259256</v>
      </c>
      <c r="D37">
        <v>1.2629246676514032</v>
      </c>
      <c r="E37" t="s">
        <v>9</v>
      </c>
      <c r="F37">
        <v>0.5864197530864198</v>
      </c>
      <c r="G37">
        <v>1.1068917018284108</v>
      </c>
      <c r="H37">
        <f t="shared" si="3"/>
        <v>1</v>
      </c>
      <c r="I37">
        <f t="shared" si="4"/>
        <v>1</v>
      </c>
      <c r="K37">
        <f t="shared" si="5"/>
        <v>1.0105263157894735</v>
      </c>
    </row>
    <row r="38" spans="1:11" x14ac:dyDescent="0.35">
      <c r="A38">
        <v>2011</v>
      </c>
      <c r="B38" t="s">
        <v>25</v>
      </c>
      <c r="C38">
        <v>0.55555555555555558</v>
      </c>
      <c r="D38">
        <v>1.1011560693641618</v>
      </c>
      <c r="E38" t="s">
        <v>15</v>
      </c>
      <c r="F38">
        <v>0.59259259259259256</v>
      </c>
      <c r="G38">
        <v>1.1300940438871474</v>
      </c>
      <c r="H38">
        <f t="shared" si="3"/>
        <v>0</v>
      </c>
      <c r="I38">
        <f t="shared" si="4"/>
        <v>0</v>
      </c>
      <c r="K38">
        <f t="shared" si="5"/>
        <v>0.93750000000000011</v>
      </c>
    </row>
    <row r="39" spans="1:11" x14ac:dyDescent="0.35">
      <c r="A39">
        <v>2011</v>
      </c>
      <c r="B39" t="s">
        <v>9</v>
      </c>
      <c r="C39">
        <v>0.5864197530864198</v>
      </c>
      <c r="D39">
        <v>1.1068917018284108</v>
      </c>
      <c r="E39" t="s">
        <v>18</v>
      </c>
      <c r="F39">
        <v>0.59876543209876543</v>
      </c>
      <c r="G39">
        <v>1.3196347031963471</v>
      </c>
      <c r="H39">
        <f t="shared" si="3"/>
        <v>0</v>
      </c>
      <c r="I39">
        <f t="shared" si="4"/>
        <v>0</v>
      </c>
      <c r="K39">
        <f t="shared" si="5"/>
        <v>0.97938144329896915</v>
      </c>
    </row>
    <row r="40" spans="1:11" x14ac:dyDescent="0.35">
      <c r="A40">
        <v>2011</v>
      </c>
      <c r="B40" t="s">
        <v>27</v>
      </c>
      <c r="C40">
        <v>0.59259259259259256</v>
      </c>
      <c r="D40">
        <v>1.2629246676514032</v>
      </c>
      <c r="E40" t="s">
        <v>26</v>
      </c>
      <c r="F40">
        <v>0.56172839506172845</v>
      </c>
      <c r="G40">
        <v>1.1514657980456027</v>
      </c>
      <c r="H40">
        <f t="shared" si="3"/>
        <v>1</v>
      </c>
      <c r="I40">
        <f t="shared" si="4"/>
        <v>1</v>
      </c>
      <c r="K40">
        <f t="shared" si="5"/>
        <v>1.0549450549450547</v>
      </c>
    </row>
    <row r="41" spans="1:11" x14ac:dyDescent="0.35">
      <c r="A41">
        <v>2011</v>
      </c>
      <c r="B41" t="s">
        <v>25</v>
      </c>
      <c r="C41">
        <v>0.55555555555555558</v>
      </c>
      <c r="D41">
        <v>1.1011560693641618</v>
      </c>
      <c r="E41" t="s">
        <v>20</v>
      </c>
      <c r="F41">
        <v>0.62962962962962965</v>
      </c>
      <c r="G41">
        <v>1.3478260869565217</v>
      </c>
      <c r="H41">
        <f t="shared" si="3"/>
        <v>0</v>
      </c>
      <c r="I41">
        <f t="shared" si="4"/>
        <v>0</v>
      </c>
      <c r="K41">
        <f t="shared" si="5"/>
        <v>0.88235294117647056</v>
      </c>
    </row>
    <row r="42" spans="1:11" x14ac:dyDescent="0.35">
      <c r="A42">
        <v>2011</v>
      </c>
      <c r="B42" t="s">
        <v>15</v>
      </c>
      <c r="C42">
        <v>0.59259259259259256</v>
      </c>
      <c r="D42">
        <v>1.1300940438871474</v>
      </c>
      <c r="E42" t="s">
        <v>0</v>
      </c>
      <c r="F42">
        <v>0.58024691358024694</v>
      </c>
      <c r="G42">
        <v>1.1042296072507554</v>
      </c>
      <c r="H42">
        <f t="shared" si="3"/>
        <v>1</v>
      </c>
      <c r="I42">
        <f t="shared" si="4"/>
        <v>1</v>
      </c>
      <c r="K42">
        <f t="shared" si="5"/>
        <v>1.0212765957446808</v>
      </c>
    </row>
    <row r="43" spans="1:11" x14ac:dyDescent="0.35">
      <c r="A43">
        <v>2010</v>
      </c>
      <c r="B43" t="s">
        <v>24</v>
      </c>
      <c r="C43">
        <v>0.5679012345679012</v>
      </c>
      <c r="D43">
        <v>1.195540308747856</v>
      </c>
      <c r="E43" t="s">
        <v>27</v>
      </c>
      <c r="F43">
        <v>0.55555555555555558</v>
      </c>
      <c r="G43">
        <v>1.1455604075691412</v>
      </c>
      <c r="H43">
        <f t="shared" si="3"/>
        <v>1</v>
      </c>
      <c r="I43">
        <f t="shared" si="4"/>
        <v>1</v>
      </c>
      <c r="K43">
        <f t="shared" si="5"/>
        <v>1.0222222222222221</v>
      </c>
    </row>
    <row r="44" spans="1:11" x14ac:dyDescent="0.35">
      <c r="A44">
        <v>2010</v>
      </c>
      <c r="B44" t="s">
        <v>27</v>
      </c>
      <c r="C44">
        <v>0.55555555555555558</v>
      </c>
      <c r="D44">
        <v>1.1455604075691412</v>
      </c>
      <c r="E44" t="s">
        <v>18</v>
      </c>
      <c r="F44">
        <v>0.5864197530864198</v>
      </c>
      <c r="G44">
        <v>1.2395382395382395</v>
      </c>
      <c r="H44">
        <f t="shared" si="3"/>
        <v>0</v>
      </c>
      <c r="I44">
        <f t="shared" si="4"/>
        <v>0</v>
      </c>
      <c r="K44">
        <f t="shared" si="5"/>
        <v>0.94736842105263153</v>
      </c>
    </row>
    <row r="45" spans="1:11" x14ac:dyDescent="0.35">
      <c r="A45">
        <v>2010</v>
      </c>
      <c r="B45" t="s">
        <v>24</v>
      </c>
      <c r="C45">
        <v>0.5679012345679012</v>
      </c>
      <c r="D45">
        <v>1.195540308747856</v>
      </c>
      <c r="E45" t="s">
        <v>20</v>
      </c>
      <c r="F45">
        <v>0.59876543209876543</v>
      </c>
      <c r="G45">
        <v>1.20625</v>
      </c>
      <c r="H45">
        <f t="shared" si="3"/>
        <v>0</v>
      </c>
      <c r="I45">
        <f t="shared" si="4"/>
        <v>0</v>
      </c>
      <c r="K45">
        <f t="shared" si="5"/>
        <v>0.94845360824742264</v>
      </c>
    </row>
    <row r="46" spans="1:11" x14ac:dyDescent="0.35">
      <c r="A46">
        <v>2010</v>
      </c>
      <c r="B46" t="s">
        <v>27</v>
      </c>
      <c r="C46">
        <v>0.55555555555555558</v>
      </c>
      <c r="D46">
        <v>1.1455604075691412</v>
      </c>
      <c r="E46" t="s">
        <v>26</v>
      </c>
      <c r="F46">
        <v>0.59259259259259256</v>
      </c>
      <c r="G46">
        <v>1.2357473035439137</v>
      </c>
      <c r="H46">
        <f t="shared" si="3"/>
        <v>0</v>
      </c>
      <c r="I46">
        <f t="shared" si="4"/>
        <v>0</v>
      </c>
      <c r="K46">
        <f t="shared" si="5"/>
        <v>0.93750000000000011</v>
      </c>
    </row>
    <row r="47" spans="1:11" x14ac:dyDescent="0.35">
      <c r="A47">
        <v>2010</v>
      </c>
      <c r="B47" t="s">
        <v>18</v>
      </c>
      <c r="C47">
        <v>0.5864197530864198</v>
      </c>
      <c r="D47">
        <v>1.2395382395382395</v>
      </c>
      <c r="E47" t="s">
        <v>16</v>
      </c>
      <c r="F47">
        <v>0.58024691358024694</v>
      </c>
      <c r="G47">
        <v>1.1639344262295082</v>
      </c>
      <c r="H47">
        <f t="shared" si="3"/>
        <v>1</v>
      </c>
      <c r="I47">
        <f t="shared" si="4"/>
        <v>1</v>
      </c>
      <c r="K47">
        <f t="shared" si="5"/>
        <v>1.0106382978723405</v>
      </c>
    </row>
    <row r="48" spans="1:11" x14ac:dyDescent="0.35">
      <c r="A48">
        <v>2010</v>
      </c>
      <c r="B48" t="s">
        <v>20</v>
      </c>
      <c r="C48">
        <v>0.59876543209876543</v>
      </c>
      <c r="D48">
        <v>1.20625</v>
      </c>
      <c r="E48" t="s">
        <v>6</v>
      </c>
      <c r="F48">
        <v>0.56172839506172845</v>
      </c>
      <c r="G48">
        <v>1.1532846715328466</v>
      </c>
      <c r="H48">
        <f t="shared" si="3"/>
        <v>1</v>
      </c>
      <c r="I48">
        <f t="shared" si="4"/>
        <v>1</v>
      </c>
      <c r="K48">
        <f t="shared" si="5"/>
        <v>1.0659340659340659</v>
      </c>
    </row>
    <row r="49" spans="1:11" x14ac:dyDescent="0.35">
      <c r="A49">
        <v>2010</v>
      </c>
      <c r="B49" t="s">
        <v>24</v>
      </c>
      <c r="C49">
        <v>0.5679012345679012</v>
      </c>
      <c r="D49">
        <v>1.195540308747856</v>
      </c>
      <c r="E49" t="s">
        <v>1</v>
      </c>
      <c r="F49">
        <v>0.56172839506172845</v>
      </c>
      <c r="G49">
        <v>1.1732909379968204</v>
      </c>
      <c r="H49">
        <f t="shared" si="3"/>
        <v>1</v>
      </c>
      <c r="I49">
        <f t="shared" si="4"/>
        <v>1</v>
      </c>
      <c r="K49">
        <f t="shared" si="5"/>
        <v>1.0109890109890109</v>
      </c>
    </row>
    <row r="50" spans="1:11" x14ac:dyDescent="0.35">
      <c r="A50">
        <v>2009</v>
      </c>
      <c r="B50" t="s">
        <v>18</v>
      </c>
      <c r="C50">
        <v>0.63580246913580252</v>
      </c>
      <c r="D50">
        <v>1.2151394422310757</v>
      </c>
      <c r="E50" t="s">
        <v>20</v>
      </c>
      <c r="F50">
        <v>0.57407407407407407</v>
      </c>
      <c r="G50">
        <v>1.156558533145275</v>
      </c>
      <c r="H50">
        <f t="shared" si="3"/>
        <v>1</v>
      </c>
      <c r="I50">
        <f t="shared" si="4"/>
        <v>1</v>
      </c>
      <c r="K50">
        <f t="shared" si="5"/>
        <v>1.1075268817204302</v>
      </c>
    </row>
    <row r="51" spans="1:11" x14ac:dyDescent="0.35">
      <c r="A51">
        <v>2009</v>
      </c>
      <c r="B51" t="s">
        <v>18</v>
      </c>
      <c r="C51">
        <v>0.63580246913580252</v>
      </c>
      <c r="D51">
        <v>1.2151394422310757</v>
      </c>
      <c r="E51" t="s">
        <v>12</v>
      </c>
      <c r="F51">
        <v>0.59876543209876543</v>
      </c>
      <c r="G51">
        <v>1.1603153745072274</v>
      </c>
      <c r="H51">
        <f t="shared" si="3"/>
        <v>1</v>
      </c>
      <c r="I51">
        <f t="shared" si="4"/>
        <v>1</v>
      </c>
      <c r="K51">
        <f t="shared" si="5"/>
        <v>1.0618556701030928</v>
      </c>
    </row>
    <row r="52" spans="1:11" x14ac:dyDescent="0.35">
      <c r="A52">
        <v>2009</v>
      </c>
      <c r="B52" t="s">
        <v>20</v>
      </c>
      <c r="C52">
        <v>0.57407407407407407</v>
      </c>
      <c r="D52">
        <v>1.156558533145275</v>
      </c>
      <c r="E52" t="s">
        <v>13</v>
      </c>
      <c r="F52">
        <v>0.5864197530864198</v>
      </c>
      <c r="G52">
        <v>1.2765957446808511</v>
      </c>
      <c r="H52">
        <f t="shared" si="3"/>
        <v>0</v>
      </c>
      <c r="I52">
        <f t="shared" si="4"/>
        <v>0</v>
      </c>
      <c r="K52">
        <f t="shared" si="5"/>
        <v>0.97894736842105257</v>
      </c>
    </row>
    <row r="53" spans="1:11" x14ac:dyDescent="0.35">
      <c r="A53">
        <v>2009</v>
      </c>
      <c r="B53" t="s">
        <v>18</v>
      </c>
      <c r="C53">
        <v>0.63580246913580252</v>
      </c>
      <c r="D53">
        <v>1.2151394422310757</v>
      </c>
      <c r="E53" t="s">
        <v>16</v>
      </c>
      <c r="F53">
        <v>0.53703703703703709</v>
      </c>
      <c r="G53">
        <v>1.0679738562091503</v>
      </c>
      <c r="H53">
        <f t="shared" si="3"/>
        <v>1</v>
      </c>
      <c r="I53">
        <f t="shared" si="4"/>
        <v>1</v>
      </c>
      <c r="K53">
        <f t="shared" si="5"/>
        <v>1.1839080459770115</v>
      </c>
    </row>
    <row r="54" spans="1:11" x14ac:dyDescent="0.35">
      <c r="A54">
        <v>2009</v>
      </c>
      <c r="B54" t="s">
        <v>12</v>
      </c>
      <c r="C54">
        <v>0.59876543209876543</v>
      </c>
      <c r="D54">
        <v>1.1603153745072274</v>
      </c>
      <c r="E54" t="s">
        <v>3</v>
      </c>
      <c r="F54">
        <v>0.5864197530864198</v>
      </c>
      <c r="G54">
        <v>1.1847826086956521</v>
      </c>
      <c r="H54">
        <f t="shared" si="3"/>
        <v>1</v>
      </c>
      <c r="I54">
        <f t="shared" si="4"/>
        <v>0</v>
      </c>
      <c r="K54">
        <f t="shared" si="5"/>
        <v>1.0210526315789472</v>
      </c>
    </row>
    <row r="55" spans="1:11" x14ac:dyDescent="0.35">
      <c r="A55">
        <v>2009</v>
      </c>
      <c r="B55" t="s">
        <v>13</v>
      </c>
      <c r="C55">
        <v>0.5864197530864198</v>
      </c>
      <c r="D55">
        <v>1.2765957446808511</v>
      </c>
      <c r="E55" t="s">
        <v>25</v>
      </c>
      <c r="F55">
        <v>0.56172839506172845</v>
      </c>
      <c r="G55">
        <v>1.140625</v>
      </c>
      <c r="H55">
        <f t="shared" si="3"/>
        <v>1</v>
      </c>
      <c r="I55">
        <f t="shared" si="4"/>
        <v>1</v>
      </c>
      <c r="K55">
        <f t="shared" si="5"/>
        <v>1.043956043956044</v>
      </c>
    </row>
    <row r="56" spans="1:11" x14ac:dyDescent="0.35">
      <c r="A56">
        <v>2009</v>
      </c>
      <c r="B56" t="s">
        <v>20</v>
      </c>
      <c r="C56">
        <v>0.57407407407407407</v>
      </c>
      <c r="D56">
        <v>1.156558533145275</v>
      </c>
      <c r="E56" t="s">
        <v>8</v>
      </c>
      <c r="F56">
        <v>0.5679012345679012</v>
      </c>
      <c r="G56">
        <v>1.1244755244755245</v>
      </c>
      <c r="H56">
        <f t="shared" si="3"/>
        <v>1</v>
      </c>
      <c r="I56">
        <f t="shared" si="4"/>
        <v>1</v>
      </c>
      <c r="K56">
        <f t="shared" si="5"/>
        <v>1.0108695652173914</v>
      </c>
    </row>
    <row r="57" spans="1:11" x14ac:dyDescent="0.35">
      <c r="A57">
        <v>2008</v>
      </c>
      <c r="B57" t="s">
        <v>20</v>
      </c>
      <c r="C57">
        <v>0.5679012345679012</v>
      </c>
      <c r="D57">
        <v>1.175</v>
      </c>
      <c r="E57" t="s">
        <v>26</v>
      </c>
      <c r="F57">
        <v>0.59876543209876543</v>
      </c>
      <c r="G57">
        <v>1.1535022354694486</v>
      </c>
      <c r="H57">
        <f t="shared" si="3"/>
        <v>0</v>
      </c>
      <c r="I57">
        <f t="shared" si="4"/>
        <v>1</v>
      </c>
      <c r="K57">
        <f t="shared" si="5"/>
        <v>0.94845360824742264</v>
      </c>
    </row>
    <row r="58" spans="1:11" x14ac:dyDescent="0.35">
      <c r="A58">
        <v>2008</v>
      </c>
      <c r="B58" t="s">
        <v>26</v>
      </c>
      <c r="C58">
        <v>0.59876543209876543</v>
      </c>
      <c r="D58">
        <v>1.1535022354694486</v>
      </c>
      <c r="E58" t="s">
        <v>3</v>
      </c>
      <c r="F58">
        <v>0.5864197530864198</v>
      </c>
      <c r="G58">
        <v>1.217579250720461</v>
      </c>
      <c r="H58">
        <f t="shared" si="3"/>
        <v>1</v>
      </c>
      <c r="I58">
        <f t="shared" si="4"/>
        <v>0</v>
      </c>
      <c r="K58">
        <f t="shared" si="5"/>
        <v>1.0210526315789472</v>
      </c>
    </row>
    <row r="59" spans="1:11" x14ac:dyDescent="0.35">
      <c r="A59">
        <v>2008</v>
      </c>
      <c r="B59" t="s">
        <v>20</v>
      </c>
      <c r="C59">
        <v>0.5679012345679012</v>
      </c>
      <c r="D59">
        <v>1.175</v>
      </c>
      <c r="E59" t="s">
        <v>13</v>
      </c>
      <c r="F59">
        <v>0.51851851851851849</v>
      </c>
      <c r="G59">
        <v>1.0802469135802468</v>
      </c>
      <c r="H59">
        <f t="shared" si="3"/>
        <v>1</v>
      </c>
      <c r="I59">
        <f t="shared" si="4"/>
        <v>1</v>
      </c>
      <c r="K59">
        <f t="shared" si="5"/>
        <v>1.0952380952380953</v>
      </c>
    </row>
    <row r="60" spans="1:11" x14ac:dyDescent="0.35">
      <c r="A60">
        <v>2008</v>
      </c>
      <c r="B60" t="s">
        <v>3</v>
      </c>
      <c r="C60">
        <v>0.5864197530864198</v>
      </c>
      <c r="D60">
        <v>1.217579250720461</v>
      </c>
      <c r="E60" t="s">
        <v>12</v>
      </c>
      <c r="F60">
        <v>0.61728395061728392</v>
      </c>
      <c r="G60">
        <v>1.0975609756097562</v>
      </c>
      <c r="H60">
        <f t="shared" si="3"/>
        <v>0</v>
      </c>
      <c r="I60">
        <f t="shared" si="4"/>
        <v>1</v>
      </c>
      <c r="K60">
        <f t="shared" si="5"/>
        <v>0.95000000000000018</v>
      </c>
    </row>
    <row r="61" spans="1:11" x14ac:dyDescent="0.35">
      <c r="A61">
        <v>2008</v>
      </c>
      <c r="B61" t="s">
        <v>26</v>
      </c>
      <c r="C61">
        <v>0.59876543209876543</v>
      </c>
      <c r="D61">
        <v>1.1535022354694486</v>
      </c>
      <c r="E61" t="s">
        <v>5</v>
      </c>
      <c r="F61">
        <v>0.54938271604938271</v>
      </c>
      <c r="G61">
        <v>1.112482853223594</v>
      </c>
      <c r="H61">
        <f t="shared" si="3"/>
        <v>1</v>
      </c>
      <c r="I61">
        <f t="shared" si="4"/>
        <v>1</v>
      </c>
      <c r="K61">
        <f t="shared" si="5"/>
        <v>1.0898876404494382</v>
      </c>
    </row>
    <row r="62" spans="1:11" x14ac:dyDescent="0.35">
      <c r="A62">
        <v>2008</v>
      </c>
      <c r="B62" t="s">
        <v>13</v>
      </c>
      <c r="C62">
        <v>0.51851851851851849</v>
      </c>
      <c r="D62">
        <v>1.0802469135802468</v>
      </c>
      <c r="E62" t="s">
        <v>4</v>
      </c>
      <c r="F62">
        <v>0.59876543209876543</v>
      </c>
      <c r="G62">
        <v>1.2742175856929956</v>
      </c>
      <c r="H62">
        <f t="shared" si="3"/>
        <v>0</v>
      </c>
      <c r="I62">
        <f t="shared" si="4"/>
        <v>0</v>
      </c>
      <c r="K62">
        <f t="shared" si="5"/>
        <v>0.86597938144329889</v>
      </c>
    </row>
    <row r="63" spans="1:11" x14ac:dyDescent="0.35">
      <c r="A63">
        <v>2008</v>
      </c>
      <c r="B63" t="s">
        <v>20</v>
      </c>
      <c r="C63">
        <v>0.5679012345679012</v>
      </c>
      <c r="D63">
        <v>1.175</v>
      </c>
      <c r="E63" t="s">
        <v>15</v>
      </c>
      <c r="F63">
        <v>0.55555555555555558</v>
      </c>
      <c r="G63">
        <v>1.0885341074020318</v>
      </c>
      <c r="H63">
        <f t="shared" si="3"/>
        <v>1</v>
      </c>
      <c r="I63">
        <f t="shared" si="4"/>
        <v>1</v>
      </c>
      <c r="K63">
        <f t="shared" si="5"/>
        <v>1.0222222222222221</v>
      </c>
    </row>
    <row r="64" spans="1:11" x14ac:dyDescent="0.35">
      <c r="A64">
        <v>2007</v>
      </c>
      <c r="B64" t="s">
        <v>3</v>
      </c>
      <c r="C64">
        <v>0.59259259259259256</v>
      </c>
      <c r="D64">
        <v>1.3196347031963471</v>
      </c>
      <c r="E64" t="s">
        <v>8</v>
      </c>
      <c r="F64">
        <v>0.55555555555555558</v>
      </c>
      <c r="G64">
        <v>1.1345646437994723</v>
      </c>
      <c r="H64">
        <f t="shared" si="3"/>
        <v>1</v>
      </c>
      <c r="I64">
        <f t="shared" si="4"/>
        <v>1</v>
      </c>
      <c r="K64">
        <f t="shared" si="5"/>
        <v>1.0666666666666667</v>
      </c>
    </row>
    <row r="65" spans="1:11" x14ac:dyDescent="0.35">
      <c r="A65">
        <v>2007</v>
      </c>
      <c r="B65" t="s">
        <v>3</v>
      </c>
      <c r="C65">
        <v>0.59259259259259256</v>
      </c>
      <c r="D65">
        <v>1.3196347031963471</v>
      </c>
      <c r="E65" t="s">
        <v>12</v>
      </c>
      <c r="F65">
        <v>0.58024691358024694</v>
      </c>
      <c r="G65">
        <v>1.1244870041039672</v>
      </c>
      <c r="H65">
        <f t="shared" si="3"/>
        <v>1</v>
      </c>
      <c r="I65">
        <f t="shared" si="4"/>
        <v>1</v>
      </c>
      <c r="K65">
        <f t="shared" si="5"/>
        <v>1.0212765957446808</v>
      </c>
    </row>
    <row r="66" spans="1:11" x14ac:dyDescent="0.35">
      <c r="A66">
        <v>2007</v>
      </c>
      <c r="B66" t="s">
        <v>7</v>
      </c>
      <c r="C66">
        <v>0.59259259259259256</v>
      </c>
      <c r="D66">
        <v>1.1519886363636365</v>
      </c>
      <c r="E66" t="s">
        <v>18</v>
      </c>
      <c r="F66">
        <v>0.58024691358024694</v>
      </c>
      <c r="G66">
        <v>1.2458172458172458</v>
      </c>
      <c r="H66">
        <f t="shared" si="3"/>
        <v>1</v>
      </c>
      <c r="I66">
        <f t="shared" si="4"/>
        <v>0</v>
      </c>
      <c r="K66">
        <f t="shared" si="5"/>
        <v>1.0212765957446808</v>
      </c>
    </row>
    <row r="67" spans="1:11" x14ac:dyDescent="0.35">
      <c r="A67">
        <v>2007</v>
      </c>
      <c r="B67" t="s">
        <v>0</v>
      </c>
      <c r="C67">
        <v>0.55555555555555558</v>
      </c>
      <c r="D67">
        <v>0.97267759562841527</v>
      </c>
      <c r="E67" t="s">
        <v>4</v>
      </c>
      <c r="F67">
        <v>0.52469135802469136</v>
      </c>
      <c r="G67">
        <v>1.0898550724637681</v>
      </c>
      <c r="H67">
        <f t="shared" ref="H67:H81" si="6">IF(C67&gt;F67,1,0)</f>
        <v>1</v>
      </c>
      <c r="I67">
        <f t="shared" ref="I67:I81" si="7">IF(D67&gt;G67,1,0)</f>
        <v>0</v>
      </c>
      <c r="K67">
        <f t="shared" ref="K67:K81" si="8">C67/F67</f>
        <v>1.0588235294117647</v>
      </c>
    </row>
    <row r="68" spans="1:11" x14ac:dyDescent="0.35">
      <c r="A68">
        <v>2007</v>
      </c>
      <c r="B68" t="s">
        <v>8</v>
      </c>
      <c r="C68">
        <v>0.55555555555555558</v>
      </c>
      <c r="D68">
        <v>1.1345646437994723</v>
      </c>
      <c r="E68" t="s">
        <v>20</v>
      </c>
      <c r="F68">
        <v>0.54938271604938271</v>
      </c>
      <c r="G68">
        <v>1.0864799025578562</v>
      </c>
      <c r="H68">
        <f t="shared" si="6"/>
        <v>1</v>
      </c>
      <c r="I68">
        <f t="shared" si="7"/>
        <v>1</v>
      </c>
      <c r="K68">
        <f t="shared" si="8"/>
        <v>1.0112359550561798</v>
      </c>
    </row>
    <row r="69" spans="1:11" x14ac:dyDescent="0.35">
      <c r="A69">
        <v>2006</v>
      </c>
      <c r="B69" t="s">
        <v>25</v>
      </c>
      <c r="C69">
        <v>0.51234567901234573</v>
      </c>
      <c r="D69">
        <v>1.0249343832020998</v>
      </c>
      <c r="E69" t="s">
        <v>9</v>
      </c>
      <c r="F69">
        <v>0.5864197530864198</v>
      </c>
      <c r="G69">
        <v>1.2177777777777778</v>
      </c>
      <c r="H69">
        <f t="shared" si="6"/>
        <v>0</v>
      </c>
      <c r="I69">
        <f t="shared" si="7"/>
        <v>0</v>
      </c>
      <c r="K69">
        <f t="shared" si="8"/>
        <v>0.87368421052631584</v>
      </c>
    </row>
    <row r="70" spans="1:11" x14ac:dyDescent="0.35">
      <c r="A70">
        <v>2006</v>
      </c>
      <c r="B70" t="s">
        <v>9</v>
      </c>
      <c r="C70">
        <v>0.5864197530864198</v>
      </c>
      <c r="D70">
        <v>1.2177777777777778</v>
      </c>
      <c r="E70" t="s">
        <v>19</v>
      </c>
      <c r="F70">
        <v>0.57407407407407407</v>
      </c>
      <c r="G70">
        <v>1.0605226960110041</v>
      </c>
      <c r="H70">
        <f t="shared" si="6"/>
        <v>1</v>
      </c>
      <c r="I70">
        <f t="shared" si="7"/>
        <v>1</v>
      </c>
      <c r="K70">
        <f t="shared" si="8"/>
        <v>1.0215053763440862</v>
      </c>
    </row>
    <row r="71" spans="1:11" x14ac:dyDescent="0.35">
      <c r="A71">
        <v>2006</v>
      </c>
      <c r="B71" t="s">
        <v>25</v>
      </c>
      <c r="C71">
        <v>0.51234567901234573</v>
      </c>
      <c r="D71">
        <v>1.0249343832020998</v>
      </c>
      <c r="E71" t="s">
        <v>17</v>
      </c>
      <c r="F71">
        <v>0.59876543209876543</v>
      </c>
      <c r="G71">
        <v>1.1409028727770179</v>
      </c>
      <c r="H71">
        <f t="shared" si="6"/>
        <v>0</v>
      </c>
      <c r="I71">
        <f t="shared" si="7"/>
        <v>0</v>
      </c>
      <c r="K71">
        <f t="shared" si="8"/>
        <v>0.85567010309278357</v>
      </c>
    </row>
    <row r="72" spans="1:11" x14ac:dyDescent="0.35">
      <c r="A72">
        <v>2006</v>
      </c>
      <c r="B72" t="s">
        <v>9</v>
      </c>
      <c r="C72">
        <v>0.5864197530864198</v>
      </c>
      <c r="D72">
        <v>1.2177777777777778</v>
      </c>
      <c r="E72" t="s">
        <v>18</v>
      </c>
      <c r="F72">
        <v>0.59876543209876543</v>
      </c>
      <c r="G72">
        <v>1.21251629726206</v>
      </c>
      <c r="H72">
        <f t="shared" si="6"/>
        <v>0</v>
      </c>
      <c r="I72">
        <f t="shared" si="7"/>
        <v>1</v>
      </c>
      <c r="K72">
        <f t="shared" si="8"/>
        <v>0.97938144329896915</v>
      </c>
    </row>
    <row r="73" spans="1:11" x14ac:dyDescent="0.35">
      <c r="A73">
        <v>2006</v>
      </c>
      <c r="B73" t="s">
        <v>19</v>
      </c>
      <c r="C73">
        <v>0.57407407407407407</v>
      </c>
      <c r="D73">
        <v>1.0605226960110041</v>
      </c>
      <c r="E73" t="s">
        <v>16</v>
      </c>
      <c r="F73">
        <v>0.59259259259259256</v>
      </c>
      <c r="G73">
        <v>1.1727672035139092</v>
      </c>
      <c r="H73">
        <f t="shared" si="6"/>
        <v>0</v>
      </c>
      <c r="I73">
        <f t="shared" si="7"/>
        <v>0</v>
      </c>
      <c r="K73">
        <f t="shared" si="8"/>
        <v>0.96875</v>
      </c>
    </row>
    <row r="74" spans="1:11" x14ac:dyDescent="0.35">
      <c r="A74">
        <v>2006</v>
      </c>
      <c r="B74" t="s">
        <v>17</v>
      </c>
      <c r="C74">
        <v>0.59876543209876543</v>
      </c>
      <c r="D74">
        <v>1.1409028727770179</v>
      </c>
      <c r="E74" t="s">
        <v>13</v>
      </c>
      <c r="F74">
        <v>0.54320987654320985</v>
      </c>
      <c r="G74">
        <v>1.0918774966711051</v>
      </c>
      <c r="H74">
        <f t="shared" si="6"/>
        <v>1</v>
      </c>
      <c r="I74">
        <f t="shared" si="7"/>
        <v>1</v>
      </c>
      <c r="K74">
        <f t="shared" si="8"/>
        <v>1.1022727272727273</v>
      </c>
    </row>
    <row r="75" spans="1:11" x14ac:dyDescent="0.35">
      <c r="A75">
        <v>2006</v>
      </c>
      <c r="B75" t="s">
        <v>25</v>
      </c>
      <c r="C75">
        <v>0.51234567901234573</v>
      </c>
      <c r="D75">
        <v>1.0249343832020998</v>
      </c>
      <c r="E75" t="s">
        <v>22</v>
      </c>
      <c r="F75">
        <v>0.54320987654320985</v>
      </c>
      <c r="G75">
        <v>1.0765832106038291</v>
      </c>
      <c r="H75">
        <f t="shared" si="6"/>
        <v>0</v>
      </c>
      <c r="I75">
        <f t="shared" si="7"/>
        <v>0</v>
      </c>
      <c r="K75">
        <f t="shared" si="8"/>
        <v>0.94318181818181834</v>
      </c>
    </row>
    <row r="76" spans="1:11" x14ac:dyDescent="0.35">
      <c r="A76">
        <v>2005</v>
      </c>
      <c r="B76" t="s">
        <v>5</v>
      </c>
      <c r="C76">
        <v>0.61111111111111116</v>
      </c>
      <c r="D76">
        <v>1.1488372093023256</v>
      </c>
      <c r="E76" t="s">
        <v>10</v>
      </c>
      <c r="F76">
        <v>0.54938271604938271</v>
      </c>
      <c r="G76">
        <v>1.1379310344827587</v>
      </c>
      <c r="H76">
        <f t="shared" si="6"/>
        <v>1</v>
      </c>
      <c r="I76">
        <f t="shared" si="7"/>
        <v>1</v>
      </c>
      <c r="K76">
        <f t="shared" si="8"/>
        <v>1.1123595505617978</v>
      </c>
    </row>
    <row r="77" spans="1:11" x14ac:dyDescent="0.35">
      <c r="A77">
        <v>2005</v>
      </c>
      <c r="B77" t="s">
        <v>5</v>
      </c>
      <c r="C77">
        <v>0.61111111111111116</v>
      </c>
      <c r="D77">
        <v>1.1488372093023256</v>
      </c>
      <c r="E77" t="s">
        <v>12</v>
      </c>
      <c r="F77">
        <v>0.5864197530864198</v>
      </c>
      <c r="G77">
        <v>1.1835147744945567</v>
      </c>
      <c r="H77">
        <f t="shared" si="6"/>
        <v>1</v>
      </c>
      <c r="I77">
        <f t="shared" si="7"/>
        <v>0</v>
      </c>
      <c r="K77">
        <f t="shared" si="8"/>
        <v>1.0421052631578946</v>
      </c>
    </row>
    <row r="78" spans="1:11" x14ac:dyDescent="0.35">
      <c r="A78">
        <v>2005</v>
      </c>
      <c r="B78" t="s">
        <v>10</v>
      </c>
      <c r="C78">
        <v>0.54938271604938271</v>
      </c>
      <c r="D78">
        <v>1.1379310344827587</v>
      </c>
      <c r="E78" t="s">
        <v>25</v>
      </c>
      <c r="F78">
        <v>0.61728395061728392</v>
      </c>
      <c r="G78">
        <v>1.2697160883280758</v>
      </c>
      <c r="H78">
        <f t="shared" si="6"/>
        <v>0</v>
      </c>
      <c r="I78">
        <f t="shared" si="7"/>
        <v>0</v>
      </c>
      <c r="K78">
        <f t="shared" si="8"/>
        <v>0.89</v>
      </c>
    </row>
    <row r="79" spans="1:11" x14ac:dyDescent="0.35">
      <c r="A79">
        <v>2005</v>
      </c>
      <c r="B79" t="s">
        <v>49</v>
      </c>
      <c r="C79">
        <v>0.54938271604938271</v>
      </c>
      <c r="D79">
        <v>1.1379310344827587</v>
      </c>
      <c r="E79" t="s">
        <v>3</v>
      </c>
      <c r="F79">
        <v>0.5864197530864198</v>
      </c>
      <c r="G79">
        <v>1.1304347826086956</v>
      </c>
      <c r="H79">
        <f t="shared" si="6"/>
        <v>0</v>
      </c>
      <c r="I79">
        <f t="shared" si="7"/>
        <v>1</v>
      </c>
      <c r="K79">
        <f t="shared" si="8"/>
        <v>0.93684210526315781</v>
      </c>
    </row>
    <row r="80" spans="1:11" x14ac:dyDescent="0.35">
      <c r="A80">
        <v>2005</v>
      </c>
      <c r="B80" t="s">
        <v>25</v>
      </c>
      <c r="C80">
        <v>0.61728395061728392</v>
      </c>
      <c r="D80">
        <v>1.2697160883280758</v>
      </c>
      <c r="E80" t="s">
        <v>22</v>
      </c>
      <c r="F80">
        <v>0.50617283950617287</v>
      </c>
      <c r="G80">
        <v>0.94214876033057848</v>
      </c>
      <c r="H80">
        <f t="shared" si="6"/>
        <v>1</v>
      </c>
      <c r="I80">
        <f t="shared" si="7"/>
        <v>1</v>
      </c>
      <c r="K80">
        <f t="shared" si="8"/>
        <v>1.2195121951219512</v>
      </c>
    </row>
    <row r="81" spans="1:11" x14ac:dyDescent="0.35">
      <c r="A81">
        <v>2005</v>
      </c>
      <c r="B81" t="s">
        <v>10</v>
      </c>
      <c r="C81">
        <v>0.54938271604938271</v>
      </c>
      <c r="D81">
        <v>1.1379310344827587</v>
      </c>
      <c r="E81" t="s">
        <v>1</v>
      </c>
      <c r="F81">
        <v>0.55555555555555558</v>
      </c>
      <c r="G81">
        <v>1.1409495548961424</v>
      </c>
      <c r="H81">
        <f t="shared" si="6"/>
        <v>0</v>
      </c>
      <c r="I81">
        <f t="shared" si="7"/>
        <v>0</v>
      </c>
      <c r="K81">
        <f t="shared" si="8"/>
        <v>0.98888888888888882</v>
      </c>
    </row>
    <row r="83" spans="1:11" x14ac:dyDescent="0.35">
      <c r="G83" s="2" t="s">
        <v>52</v>
      </c>
      <c r="H83" s="40">
        <f>AVERAGE(H2:H81)</f>
        <v>0.55000000000000004</v>
      </c>
      <c r="I83" s="40">
        <f>AVERAGE(I2:I81)</f>
        <v>0.53749999999999998</v>
      </c>
    </row>
    <row r="84" spans="1:11" x14ac:dyDescent="0.35">
      <c r="A84" s="53" t="s">
        <v>136</v>
      </c>
      <c r="B84" s="53"/>
      <c r="C84" s="53"/>
    </row>
    <row r="85" spans="1:11" x14ac:dyDescent="0.35">
      <c r="A85">
        <v>2013</v>
      </c>
      <c r="B85" t="s">
        <v>128</v>
      </c>
      <c r="C85" t="s">
        <v>132</v>
      </c>
    </row>
    <row r="86" spans="1:11" x14ac:dyDescent="0.35">
      <c r="A86">
        <v>2007</v>
      </c>
      <c r="B86" t="s">
        <v>129</v>
      </c>
      <c r="C86" t="s">
        <v>133</v>
      </c>
    </row>
    <row r="87" spans="1:11" x14ac:dyDescent="0.35">
      <c r="A87">
        <v>2007</v>
      </c>
      <c r="B87" t="s">
        <v>130</v>
      </c>
      <c r="C87" t="s">
        <v>134</v>
      </c>
    </row>
    <row r="88" spans="1:11" x14ac:dyDescent="0.35">
      <c r="A88">
        <v>2005</v>
      </c>
      <c r="B88" t="s">
        <v>131</v>
      </c>
      <c r="C88" t="s">
        <v>135</v>
      </c>
    </row>
  </sheetData>
  <mergeCells count="1">
    <mergeCell ref="A84:C84"/>
  </mergeCells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6"/>
  <dimension ref="A1:N258"/>
  <sheetViews>
    <sheetView workbookViewId="0">
      <pane ySplit="2" topLeftCell="A3" activePane="bottomLeft" state="frozen"/>
      <selection pane="bottomLeft" activeCell="N4" sqref="N4"/>
    </sheetView>
  </sheetViews>
  <sheetFormatPr defaultColWidth="9.08984375" defaultRowHeight="14.5" x14ac:dyDescent="0.35"/>
  <cols>
    <col min="1" max="1" width="4.7265625" style="6" bestFit="1" customWidth="1"/>
    <col min="2" max="2" width="18.81640625" style="6" bestFit="1" customWidth="1"/>
    <col min="3" max="3" width="4.81640625" style="6" bestFit="1" customWidth="1"/>
    <col min="4" max="4" width="6" style="6" bestFit="1" customWidth="1"/>
    <col min="5" max="5" width="6" style="6" customWidth="1"/>
    <col min="6" max="7" width="3.7265625" style="6" bestFit="1" customWidth="1"/>
    <col min="8" max="8" width="6.1796875" style="6" customWidth="1"/>
    <col min="9" max="9" width="9.08984375" style="6"/>
    <col min="10" max="10" width="8.36328125" style="6" bestFit="1" customWidth="1"/>
    <col min="11" max="16384" width="9.08984375" style="6"/>
  </cols>
  <sheetData>
    <row r="1" spans="1:14" x14ac:dyDescent="0.35">
      <c r="A1" s="19"/>
      <c r="B1" s="20"/>
      <c r="C1" s="20"/>
      <c r="D1" s="20"/>
      <c r="E1" s="20"/>
      <c r="F1" s="20"/>
      <c r="G1" s="20"/>
      <c r="H1" s="20" t="s">
        <v>41</v>
      </c>
      <c r="I1" s="20">
        <v>2.37</v>
      </c>
      <c r="J1" s="20" t="s">
        <v>42</v>
      </c>
      <c r="K1" s="20">
        <f>AVERAGE(K3:K258)</f>
        <v>6.3899502477880149E-2</v>
      </c>
      <c r="L1" s="20"/>
      <c r="M1" s="20"/>
      <c r="N1" s="21"/>
    </row>
    <row r="2" spans="1:14" x14ac:dyDescent="0.35">
      <c r="A2" s="22" t="s">
        <v>45</v>
      </c>
      <c r="B2" s="7" t="s">
        <v>35</v>
      </c>
      <c r="C2" s="7" t="s">
        <v>36</v>
      </c>
      <c r="D2" s="7" t="s">
        <v>37</v>
      </c>
      <c r="E2" s="7" t="s">
        <v>81</v>
      </c>
      <c r="F2" s="7" t="s">
        <v>55</v>
      </c>
      <c r="G2" s="7" t="s">
        <v>56</v>
      </c>
      <c r="H2" s="7" t="s">
        <v>30</v>
      </c>
      <c r="I2" s="7" t="s">
        <v>31</v>
      </c>
      <c r="J2" s="7" t="s">
        <v>32</v>
      </c>
      <c r="K2" s="7" t="s">
        <v>33</v>
      </c>
      <c r="N2" s="23"/>
    </row>
    <row r="3" spans="1:14" x14ac:dyDescent="0.35">
      <c r="A3" s="24">
        <v>2015</v>
      </c>
      <c r="B3" s="3" t="s">
        <v>83</v>
      </c>
      <c r="C3" s="8">
        <v>13</v>
      </c>
      <c r="D3" s="8">
        <v>3</v>
      </c>
      <c r="E3" s="8">
        <v>0</v>
      </c>
      <c r="F3" s="8">
        <v>489</v>
      </c>
      <c r="G3" s="8">
        <v>313</v>
      </c>
      <c r="H3" s="48">
        <f t="shared" ref="H3:H66" si="0">F3/G3</f>
        <v>1.5623003194888179</v>
      </c>
      <c r="I3" s="48">
        <f t="shared" ref="I3:I66" si="1">(H3^$I$1)/((H3^$I$1)+1)</f>
        <v>0.74219289749423722</v>
      </c>
      <c r="J3" s="48">
        <v>0.81299999999999994</v>
      </c>
      <c r="K3" s="48">
        <f t="shared" ref="K3:K66" si="2">ABS(I3-J3)</f>
        <v>7.080710250576272E-2</v>
      </c>
      <c r="L3" s="8"/>
      <c r="M3" s="8"/>
      <c r="N3" s="25"/>
    </row>
    <row r="4" spans="1:14" x14ac:dyDescent="0.35">
      <c r="A4" s="24">
        <v>2015</v>
      </c>
      <c r="B4" s="3" t="s">
        <v>72</v>
      </c>
      <c r="C4" s="8">
        <v>8</v>
      </c>
      <c r="D4" s="8">
        <v>8</v>
      </c>
      <c r="E4" s="8">
        <v>0</v>
      </c>
      <c r="F4" s="8">
        <v>339</v>
      </c>
      <c r="G4" s="8">
        <v>345</v>
      </c>
      <c r="H4" s="48">
        <f t="shared" si="0"/>
        <v>0.9826086956521739</v>
      </c>
      <c r="I4" s="48">
        <f t="shared" si="1"/>
        <v>0.48960649393095723</v>
      </c>
      <c r="J4" s="48">
        <v>0.5</v>
      </c>
      <c r="K4" s="48">
        <f t="shared" si="2"/>
        <v>1.0393506069042768E-2</v>
      </c>
      <c r="L4" s="8"/>
      <c r="M4" s="8"/>
      <c r="N4" s="25" t="s">
        <v>42</v>
      </c>
    </row>
    <row r="5" spans="1:14" x14ac:dyDescent="0.35">
      <c r="A5" s="24">
        <v>2015</v>
      </c>
      <c r="B5" s="3" t="s">
        <v>60</v>
      </c>
      <c r="C5" s="8">
        <v>5</v>
      </c>
      <c r="D5" s="8">
        <v>11</v>
      </c>
      <c r="E5" s="8">
        <v>0</v>
      </c>
      <c r="F5" s="8">
        <v>328</v>
      </c>
      <c r="G5" s="8">
        <v>401</v>
      </c>
      <c r="H5" s="48">
        <f t="shared" si="0"/>
        <v>0.81795511221945139</v>
      </c>
      <c r="I5" s="48">
        <f t="shared" si="1"/>
        <v>0.38313889043755117</v>
      </c>
      <c r="J5" s="48">
        <v>0.313</v>
      </c>
      <c r="K5" s="48">
        <f t="shared" si="2"/>
        <v>7.0138890437551171E-2</v>
      </c>
      <c r="L5" s="8"/>
      <c r="M5" s="8" t="s">
        <v>41</v>
      </c>
      <c r="N5" s="25">
        <f>K1</f>
        <v>6.3899502477880149E-2</v>
      </c>
    </row>
    <row r="6" spans="1:14" x14ac:dyDescent="0.35">
      <c r="A6" s="24">
        <v>2015</v>
      </c>
      <c r="B6" s="3" t="s">
        <v>58</v>
      </c>
      <c r="C6" s="8">
        <v>8</v>
      </c>
      <c r="D6" s="8">
        <v>8</v>
      </c>
      <c r="E6" s="8">
        <v>0</v>
      </c>
      <c r="F6" s="8">
        <v>379</v>
      </c>
      <c r="G6" s="8">
        <v>359</v>
      </c>
      <c r="H6" s="48">
        <f t="shared" si="0"/>
        <v>1.0557103064066853</v>
      </c>
      <c r="I6" s="48">
        <f t="shared" si="1"/>
        <v>0.53207756817292728</v>
      </c>
      <c r="J6" s="48">
        <v>0.5</v>
      </c>
      <c r="K6" s="48">
        <f t="shared" si="2"/>
        <v>3.2077568172927284E-2</v>
      </c>
      <c r="L6" s="8"/>
      <c r="M6" s="8">
        <v>1.5</v>
      </c>
      <c r="N6" s="25">
        <f t="dataTable" ref="N6:N26" dt2D="0" dtr="0" r1="I1"/>
        <v>8.7458019161773884E-2</v>
      </c>
    </row>
    <row r="7" spans="1:14" x14ac:dyDescent="0.35">
      <c r="A7" s="24">
        <v>2015</v>
      </c>
      <c r="B7" s="3" t="s">
        <v>84</v>
      </c>
      <c r="C7" s="8">
        <v>15</v>
      </c>
      <c r="D7" s="8">
        <v>1</v>
      </c>
      <c r="E7" s="8">
        <v>0</v>
      </c>
      <c r="F7" s="8">
        <v>500</v>
      </c>
      <c r="G7" s="8">
        <v>308</v>
      </c>
      <c r="H7" s="48">
        <f t="shared" si="0"/>
        <v>1.6233766233766234</v>
      </c>
      <c r="I7" s="48">
        <f t="shared" si="1"/>
        <v>0.75919747234046719</v>
      </c>
      <c r="J7" s="48">
        <v>0.93799999999999994</v>
      </c>
      <c r="K7" s="48">
        <f t="shared" si="2"/>
        <v>0.17880252765953275</v>
      </c>
      <c r="L7" s="8"/>
      <c r="M7" s="8">
        <v>1.5999999999999999</v>
      </c>
      <c r="N7" s="25">
        <v>8.3786393020945149E-2</v>
      </c>
    </row>
    <row r="8" spans="1:14" x14ac:dyDescent="0.35">
      <c r="A8" s="24">
        <v>2015</v>
      </c>
      <c r="B8" s="3" t="s">
        <v>71</v>
      </c>
      <c r="C8" s="8">
        <v>6</v>
      </c>
      <c r="D8" s="8">
        <v>10</v>
      </c>
      <c r="E8" s="8">
        <v>0</v>
      </c>
      <c r="F8" s="8">
        <v>335</v>
      </c>
      <c r="G8" s="8">
        <v>397</v>
      </c>
      <c r="H8" s="48">
        <f t="shared" si="0"/>
        <v>0.84382871536523929</v>
      </c>
      <c r="I8" s="48">
        <f t="shared" si="1"/>
        <v>0.40072633519063733</v>
      </c>
      <c r="J8" s="48">
        <v>0.375</v>
      </c>
      <c r="K8" s="48">
        <f t="shared" si="2"/>
        <v>2.5726335190637328E-2</v>
      </c>
      <c r="L8" s="8"/>
      <c r="M8" s="8">
        <v>1.7</v>
      </c>
      <c r="N8" s="25">
        <v>8.0410575919709446E-2</v>
      </c>
    </row>
    <row r="9" spans="1:14" x14ac:dyDescent="0.35">
      <c r="A9" s="24">
        <v>2015</v>
      </c>
      <c r="B9" s="3" t="s">
        <v>86</v>
      </c>
      <c r="C9" s="8">
        <v>12</v>
      </c>
      <c r="D9" s="8">
        <v>4</v>
      </c>
      <c r="E9" s="8">
        <v>0</v>
      </c>
      <c r="F9" s="8">
        <v>419</v>
      </c>
      <c r="G9" s="8">
        <v>279</v>
      </c>
      <c r="H9" s="48">
        <f t="shared" si="0"/>
        <v>1.5017921146953406</v>
      </c>
      <c r="I9" s="48">
        <f t="shared" si="1"/>
        <v>0.72387841663407027</v>
      </c>
      <c r="J9" s="48">
        <v>0.75</v>
      </c>
      <c r="K9" s="48">
        <f t="shared" si="2"/>
        <v>2.6121583365929735E-2</v>
      </c>
      <c r="L9" s="8"/>
      <c r="M9" s="8">
        <v>1.7999999999999998</v>
      </c>
      <c r="N9" s="25">
        <v>7.7291728009752508E-2</v>
      </c>
    </row>
    <row r="10" spans="1:14" x14ac:dyDescent="0.35">
      <c r="A10" s="24">
        <v>2015</v>
      </c>
      <c r="B10" s="3" t="s">
        <v>61</v>
      </c>
      <c r="C10" s="8">
        <v>3</v>
      </c>
      <c r="D10" s="8">
        <v>13</v>
      </c>
      <c r="E10" s="8">
        <v>0</v>
      </c>
      <c r="F10" s="8">
        <v>278</v>
      </c>
      <c r="G10" s="8">
        <v>432</v>
      </c>
      <c r="H10" s="48">
        <f t="shared" si="0"/>
        <v>0.64351851851851849</v>
      </c>
      <c r="I10" s="48">
        <f t="shared" si="1"/>
        <v>0.26024287280065633</v>
      </c>
      <c r="J10" s="48">
        <v>0.188</v>
      </c>
      <c r="K10" s="48">
        <f t="shared" si="2"/>
        <v>7.2242872800656333E-2</v>
      </c>
      <c r="L10" s="8"/>
      <c r="M10" s="8">
        <v>1.9</v>
      </c>
      <c r="N10" s="25">
        <v>7.4380834282093217E-2</v>
      </c>
    </row>
    <row r="11" spans="1:14" x14ac:dyDescent="0.35">
      <c r="A11" s="24">
        <v>2015</v>
      </c>
      <c r="B11" s="3" t="s">
        <v>69</v>
      </c>
      <c r="C11" s="8">
        <v>4</v>
      </c>
      <c r="D11" s="8">
        <v>12</v>
      </c>
      <c r="E11" s="8">
        <v>0</v>
      </c>
      <c r="F11" s="8">
        <v>275</v>
      </c>
      <c r="G11" s="8">
        <v>374</v>
      </c>
      <c r="H11" s="48">
        <f t="shared" si="0"/>
        <v>0.73529411764705888</v>
      </c>
      <c r="I11" s="48">
        <f t="shared" si="1"/>
        <v>0.32547156359235674</v>
      </c>
      <c r="J11" s="48">
        <v>0.25</v>
      </c>
      <c r="K11" s="48">
        <f t="shared" si="2"/>
        <v>7.5471563592356739E-2</v>
      </c>
      <c r="L11" s="8"/>
      <c r="M11" s="8">
        <v>2</v>
      </c>
      <c r="N11" s="25">
        <v>7.1698879307801222E-2</v>
      </c>
    </row>
    <row r="12" spans="1:14" x14ac:dyDescent="0.35">
      <c r="A12" s="24">
        <v>2015</v>
      </c>
      <c r="B12" s="3" t="s">
        <v>87</v>
      </c>
      <c r="C12" s="8">
        <v>12</v>
      </c>
      <c r="D12" s="8">
        <v>4</v>
      </c>
      <c r="E12" s="8">
        <v>0</v>
      </c>
      <c r="F12" s="8">
        <v>355</v>
      </c>
      <c r="G12" s="8">
        <v>296</v>
      </c>
      <c r="H12" s="48">
        <f t="shared" si="0"/>
        <v>1.1993243243243243</v>
      </c>
      <c r="I12" s="48">
        <f t="shared" si="1"/>
        <v>0.60605686678554926</v>
      </c>
      <c r="J12" s="48">
        <v>0.75</v>
      </c>
      <c r="K12" s="48">
        <f t="shared" si="2"/>
        <v>0.14394313321445074</v>
      </c>
      <c r="L12" s="8"/>
      <c r="M12" s="8">
        <v>2.1</v>
      </c>
      <c r="N12" s="25">
        <v>6.9282984306750658E-2</v>
      </c>
    </row>
    <row r="13" spans="1:14" x14ac:dyDescent="0.35">
      <c r="A13" s="24">
        <v>2015</v>
      </c>
      <c r="B13" s="3" t="s">
        <v>70</v>
      </c>
      <c r="C13" s="8">
        <v>7</v>
      </c>
      <c r="D13" s="8">
        <v>9</v>
      </c>
      <c r="E13" s="8">
        <v>0</v>
      </c>
      <c r="F13" s="8">
        <v>358</v>
      </c>
      <c r="G13" s="8">
        <v>400</v>
      </c>
      <c r="H13" s="48">
        <f t="shared" si="0"/>
        <v>0.89500000000000002</v>
      </c>
      <c r="I13" s="48">
        <f t="shared" si="1"/>
        <v>0.43464904165073853</v>
      </c>
      <c r="J13" s="48">
        <v>0.438</v>
      </c>
      <c r="K13" s="48">
        <f t="shared" si="2"/>
        <v>3.3509583492614681E-3</v>
      </c>
      <c r="L13" s="8"/>
      <c r="M13" s="8">
        <v>2.1999999999999997</v>
      </c>
      <c r="N13" s="25">
        <v>6.7048672492433778E-2</v>
      </c>
    </row>
    <row r="14" spans="1:14" x14ac:dyDescent="0.35">
      <c r="A14" s="24">
        <v>2015</v>
      </c>
      <c r="B14" s="3" t="s">
        <v>89</v>
      </c>
      <c r="C14" s="8">
        <v>10</v>
      </c>
      <c r="D14" s="8">
        <v>6</v>
      </c>
      <c r="E14" s="8">
        <v>0</v>
      </c>
      <c r="F14" s="8">
        <v>368</v>
      </c>
      <c r="G14" s="8">
        <v>323</v>
      </c>
      <c r="H14" s="48">
        <f t="shared" si="0"/>
        <v>1.1393188854489165</v>
      </c>
      <c r="I14" s="48">
        <f t="shared" si="1"/>
        <v>0.5766705846730068</v>
      </c>
      <c r="J14" s="48">
        <v>0.625</v>
      </c>
      <c r="K14" s="48">
        <f t="shared" si="2"/>
        <v>4.8329415326993197E-2</v>
      </c>
      <c r="L14" s="8"/>
      <c r="M14" s="8">
        <v>2.2999999999999998</v>
      </c>
      <c r="N14" s="25">
        <v>6.5010818053635747E-2</v>
      </c>
    </row>
    <row r="15" spans="1:14" x14ac:dyDescent="0.35">
      <c r="A15" s="24">
        <v>2015</v>
      </c>
      <c r="B15" s="3" t="s">
        <v>77</v>
      </c>
      <c r="C15" s="8">
        <v>9</v>
      </c>
      <c r="D15" s="8">
        <v>7</v>
      </c>
      <c r="E15" s="8">
        <v>0</v>
      </c>
      <c r="F15" s="8">
        <v>339</v>
      </c>
      <c r="G15" s="8">
        <v>313</v>
      </c>
      <c r="H15" s="48">
        <f t="shared" si="0"/>
        <v>1.0830670926517572</v>
      </c>
      <c r="I15" s="48">
        <f t="shared" si="1"/>
        <v>0.54713925881770342</v>
      </c>
      <c r="J15" s="48">
        <v>0.56299999999999994</v>
      </c>
      <c r="K15" s="48">
        <f t="shared" si="2"/>
        <v>1.5860741182296523E-2</v>
      </c>
      <c r="L15" s="8"/>
      <c r="M15" s="8">
        <v>2.4</v>
      </c>
      <c r="N15" s="25">
        <v>6.3455287578665129E-2</v>
      </c>
    </row>
    <row r="16" spans="1:14" x14ac:dyDescent="0.35">
      <c r="A16" s="24">
        <v>2015</v>
      </c>
      <c r="B16" s="3" t="s">
        <v>62</v>
      </c>
      <c r="C16" s="8">
        <v>8</v>
      </c>
      <c r="D16" s="8">
        <v>8</v>
      </c>
      <c r="E16" s="8">
        <v>0</v>
      </c>
      <c r="F16" s="8">
        <v>333</v>
      </c>
      <c r="G16" s="8">
        <v>408</v>
      </c>
      <c r="H16" s="48">
        <f t="shared" si="0"/>
        <v>0.81617647058823528</v>
      </c>
      <c r="I16" s="48">
        <f t="shared" si="1"/>
        <v>0.38192029135193911</v>
      </c>
      <c r="J16" s="48">
        <v>0.5</v>
      </c>
      <c r="K16" s="48">
        <f t="shared" si="2"/>
        <v>0.11807970864806089</v>
      </c>
      <c r="L16" s="8"/>
      <c r="M16" s="8">
        <v>2.5</v>
      </c>
      <c r="N16" s="25">
        <v>6.2158810504049491E-2</v>
      </c>
    </row>
    <row r="17" spans="1:14" x14ac:dyDescent="0.35">
      <c r="A17" s="24">
        <v>2015</v>
      </c>
      <c r="B17" s="3" t="s">
        <v>63</v>
      </c>
      <c r="C17" s="8">
        <v>5</v>
      </c>
      <c r="D17" s="8">
        <v>11</v>
      </c>
      <c r="E17" s="8">
        <v>0</v>
      </c>
      <c r="F17" s="8">
        <v>376</v>
      </c>
      <c r="G17" s="8">
        <v>448</v>
      </c>
      <c r="H17" s="48">
        <f t="shared" si="0"/>
        <v>0.8392857142857143</v>
      </c>
      <c r="I17" s="48">
        <f t="shared" si="1"/>
        <v>0.39765784668537535</v>
      </c>
      <c r="J17" s="48">
        <v>0.313</v>
      </c>
      <c r="K17" s="48">
        <f t="shared" si="2"/>
        <v>8.4657846685375349E-2</v>
      </c>
      <c r="L17" s="8"/>
      <c r="M17" s="8">
        <v>2.6</v>
      </c>
      <c r="N17" s="25">
        <v>6.1279631478645166E-2</v>
      </c>
    </row>
    <row r="18" spans="1:14" x14ac:dyDescent="0.35">
      <c r="A18" s="24">
        <v>2015</v>
      </c>
      <c r="B18" s="3" t="s">
        <v>78</v>
      </c>
      <c r="C18" s="8">
        <v>11</v>
      </c>
      <c r="D18" s="8">
        <v>5</v>
      </c>
      <c r="E18" s="8">
        <v>0</v>
      </c>
      <c r="F18" s="8">
        <v>405</v>
      </c>
      <c r="G18" s="8">
        <v>287</v>
      </c>
      <c r="H18" s="48">
        <f t="shared" si="0"/>
        <v>1.4111498257839721</v>
      </c>
      <c r="I18" s="48">
        <f t="shared" si="1"/>
        <v>0.69343750729686737</v>
      </c>
      <c r="J18" s="48">
        <v>0.68799999999999994</v>
      </c>
      <c r="K18" s="48">
        <f t="shared" si="2"/>
        <v>5.4375072968674276E-3</v>
      </c>
      <c r="L18" s="8"/>
      <c r="M18" s="8">
        <v>2.6999999999999997</v>
      </c>
      <c r="N18" s="25">
        <v>6.0819270919292887E-2</v>
      </c>
    </row>
    <row r="19" spans="1:14" x14ac:dyDescent="0.35">
      <c r="A19" s="24">
        <v>2015</v>
      </c>
      <c r="B19" s="3" t="s">
        <v>59</v>
      </c>
      <c r="C19" s="8">
        <v>6</v>
      </c>
      <c r="D19" s="8">
        <v>10</v>
      </c>
      <c r="E19" s="8">
        <v>0</v>
      </c>
      <c r="F19" s="8">
        <v>310</v>
      </c>
      <c r="G19" s="8">
        <v>389</v>
      </c>
      <c r="H19" s="48">
        <f t="shared" si="0"/>
        <v>0.79691516709511567</v>
      </c>
      <c r="I19" s="48">
        <f t="shared" si="1"/>
        <v>0.36865139650720685</v>
      </c>
      <c r="J19" s="48">
        <v>0.375</v>
      </c>
      <c r="K19" s="48">
        <f t="shared" si="2"/>
        <v>6.3486034927931478E-3</v>
      </c>
      <c r="L19" s="8"/>
      <c r="M19" s="5">
        <v>2.8</v>
      </c>
      <c r="N19" s="26">
        <v>6.0758708055302355E-2</v>
      </c>
    </row>
    <row r="20" spans="1:14" x14ac:dyDescent="0.35">
      <c r="A20" s="24">
        <v>2015</v>
      </c>
      <c r="B20" s="3" t="s">
        <v>80</v>
      </c>
      <c r="C20" s="8">
        <v>11</v>
      </c>
      <c r="D20" s="8">
        <v>5</v>
      </c>
      <c r="E20" s="8">
        <v>0</v>
      </c>
      <c r="F20" s="8">
        <v>365</v>
      </c>
      <c r="G20" s="8">
        <v>302</v>
      </c>
      <c r="H20" s="48">
        <f t="shared" si="0"/>
        <v>1.2086092715231789</v>
      </c>
      <c r="I20" s="48">
        <f t="shared" si="1"/>
        <v>0.61041207806511677</v>
      </c>
      <c r="J20" s="48">
        <v>0.68799999999999994</v>
      </c>
      <c r="K20" s="48">
        <f t="shared" si="2"/>
        <v>7.7587921934883175E-2</v>
      </c>
      <c r="L20" s="8"/>
      <c r="M20" s="8">
        <v>2.9</v>
      </c>
      <c r="N20" s="25">
        <v>6.0941558023383295E-2</v>
      </c>
    </row>
    <row r="21" spans="1:14" x14ac:dyDescent="0.35">
      <c r="A21" s="24">
        <v>2015</v>
      </c>
      <c r="B21" s="3" t="s">
        <v>88</v>
      </c>
      <c r="C21" s="8">
        <v>12</v>
      </c>
      <c r="D21" s="8">
        <v>4</v>
      </c>
      <c r="E21" s="8">
        <v>0</v>
      </c>
      <c r="F21" s="8">
        <v>465</v>
      </c>
      <c r="G21" s="8">
        <v>315</v>
      </c>
      <c r="H21" s="48">
        <f t="shared" si="0"/>
        <v>1.4761904761904763</v>
      </c>
      <c r="I21" s="48">
        <f t="shared" si="1"/>
        <v>0.71565939127514921</v>
      </c>
      <c r="J21" s="48">
        <v>0.75</v>
      </c>
      <c r="K21" s="48">
        <f t="shared" si="2"/>
        <v>3.4340608724850785E-2</v>
      </c>
      <c r="L21" s="8"/>
      <c r="M21" s="8">
        <v>3</v>
      </c>
      <c r="N21" s="25">
        <v>6.1357921248208228E-2</v>
      </c>
    </row>
    <row r="22" spans="1:14" x14ac:dyDescent="0.35">
      <c r="A22" s="24">
        <v>2015</v>
      </c>
      <c r="B22" s="3" t="s">
        <v>73</v>
      </c>
      <c r="C22" s="8">
        <v>7</v>
      </c>
      <c r="D22" s="8">
        <v>9</v>
      </c>
      <c r="E22" s="8">
        <v>0</v>
      </c>
      <c r="F22" s="8">
        <v>408</v>
      </c>
      <c r="G22" s="8">
        <v>476</v>
      </c>
      <c r="H22" s="48">
        <f t="shared" si="0"/>
        <v>0.8571428571428571</v>
      </c>
      <c r="I22" s="48">
        <f t="shared" si="1"/>
        <v>0.40966821856046859</v>
      </c>
      <c r="J22" s="48">
        <v>0.438</v>
      </c>
      <c r="K22" s="48">
        <f t="shared" si="2"/>
        <v>2.8331781439531412E-2</v>
      </c>
      <c r="L22" s="8"/>
      <c r="M22" s="8">
        <v>3.1</v>
      </c>
      <c r="N22" s="25">
        <v>6.1891885847609344E-2</v>
      </c>
    </row>
    <row r="23" spans="1:14" x14ac:dyDescent="0.35">
      <c r="A23" s="24">
        <v>2015</v>
      </c>
      <c r="B23" s="3" t="s">
        <v>68</v>
      </c>
      <c r="C23" s="8">
        <v>6</v>
      </c>
      <c r="D23" s="8">
        <v>10</v>
      </c>
      <c r="E23" s="8">
        <v>0</v>
      </c>
      <c r="F23" s="8">
        <v>420</v>
      </c>
      <c r="G23" s="8">
        <v>442</v>
      </c>
      <c r="H23" s="48">
        <f t="shared" si="0"/>
        <v>0.95022624434389136</v>
      </c>
      <c r="I23" s="48">
        <f t="shared" si="1"/>
        <v>0.46978666555431003</v>
      </c>
      <c r="J23" s="48">
        <v>0.375</v>
      </c>
      <c r="K23" s="48">
        <f t="shared" si="2"/>
        <v>9.4786665554310034E-2</v>
      </c>
      <c r="L23" s="8"/>
      <c r="M23" s="8">
        <v>3.1999999999999997</v>
      </c>
      <c r="N23" s="25">
        <v>6.26486372721963E-2</v>
      </c>
    </row>
    <row r="24" spans="1:14" x14ac:dyDescent="0.35">
      <c r="A24" s="24">
        <v>2015</v>
      </c>
      <c r="B24" s="3" t="s">
        <v>57</v>
      </c>
      <c r="C24" s="8">
        <v>10</v>
      </c>
      <c r="D24" s="8">
        <v>6</v>
      </c>
      <c r="E24" s="8">
        <v>0</v>
      </c>
      <c r="F24" s="8">
        <v>387</v>
      </c>
      <c r="G24" s="8">
        <v>314</v>
      </c>
      <c r="H24" s="48">
        <f t="shared" si="0"/>
        <v>1.2324840764331211</v>
      </c>
      <c r="I24" s="48">
        <f t="shared" si="1"/>
        <v>0.62137891739680928</v>
      </c>
      <c r="J24" s="48">
        <v>0.625</v>
      </c>
      <c r="K24" s="48">
        <f t="shared" si="2"/>
        <v>3.6210826031907173E-3</v>
      </c>
      <c r="L24" s="8"/>
      <c r="M24" s="8">
        <v>3.3</v>
      </c>
      <c r="N24" s="25">
        <v>6.359495792049609E-2</v>
      </c>
    </row>
    <row r="25" spans="1:14" x14ac:dyDescent="0.35">
      <c r="A25" s="24">
        <v>2015</v>
      </c>
      <c r="B25" s="3" t="s">
        <v>65</v>
      </c>
      <c r="C25" s="8">
        <v>7</v>
      </c>
      <c r="D25" s="8">
        <v>9</v>
      </c>
      <c r="E25" s="8">
        <v>0</v>
      </c>
      <c r="F25" s="8">
        <v>359</v>
      </c>
      <c r="G25" s="8">
        <v>399</v>
      </c>
      <c r="H25" s="48">
        <f t="shared" si="0"/>
        <v>0.89974937343358397</v>
      </c>
      <c r="I25" s="48">
        <f t="shared" si="1"/>
        <v>0.43773378593689066</v>
      </c>
      <c r="J25" s="48">
        <v>0.438</v>
      </c>
      <c r="K25" s="48">
        <f t="shared" si="2"/>
        <v>2.6621406310933793E-4</v>
      </c>
      <c r="L25" s="8"/>
      <c r="M25" s="8">
        <v>3.4</v>
      </c>
      <c r="N25" s="25">
        <v>6.4745280481340442E-2</v>
      </c>
    </row>
    <row r="26" spans="1:14" x14ac:dyDescent="0.35">
      <c r="A26" s="24">
        <v>2015</v>
      </c>
      <c r="B26" s="3" t="s">
        <v>67</v>
      </c>
      <c r="C26" s="8">
        <v>7</v>
      </c>
      <c r="D26" s="8">
        <v>9</v>
      </c>
      <c r="E26" s="8">
        <v>0</v>
      </c>
      <c r="F26" s="8">
        <v>377</v>
      </c>
      <c r="G26" s="8">
        <v>430</v>
      </c>
      <c r="H26" s="48">
        <f t="shared" si="0"/>
        <v>0.87674418604651161</v>
      </c>
      <c r="I26" s="48">
        <f t="shared" si="1"/>
        <v>0.42268767781448452</v>
      </c>
      <c r="J26" s="48">
        <v>0.438</v>
      </c>
      <c r="K26" s="48">
        <f t="shared" si="2"/>
        <v>1.5312322185515481E-2</v>
      </c>
      <c r="L26" s="8"/>
      <c r="M26" s="8">
        <v>3.5</v>
      </c>
      <c r="N26" s="25">
        <v>6.5955742406079917E-2</v>
      </c>
    </row>
    <row r="27" spans="1:14" ht="15" thickBot="1" x14ac:dyDescent="0.4">
      <c r="A27" s="27">
        <v>2015</v>
      </c>
      <c r="B27" s="18" t="s">
        <v>82</v>
      </c>
      <c r="C27" s="28">
        <v>10</v>
      </c>
      <c r="D27" s="28">
        <v>6</v>
      </c>
      <c r="E27" s="28">
        <v>0</v>
      </c>
      <c r="F27" s="28">
        <v>423</v>
      </c>
      <c r="G27" s="28">
        <v>319</v>
      </c>
      <c r="H27" s="49">
        <f t="shared" si="0"/>
        <v>1.3260188087774294</v>
      </c>
      <c r="I27" s="49">
        <f t="shared" si="1"/>
        <v>0.66122749669891601</v>
      </c>
      <c r="J27" s="49">
        <v>0.625</v>
      </c>
      <c r="K27" s="49">
        <f t="shared" si="2"/>
        <v>3.6227496698916006E-2</v>
      </c>
      <c r="L27" s="28"/>
      <c r="M27" s="28"/>
      <c r="N27" s="29"/>
    </row>
    <row r="28" spans="1:14" x14ac:dyDescent="0.35">
      <c r="A28" s="6">
        <v>2015</v>
      </c>
      <c r="B28" t="s">
        <v>66</v>
      </c>
      <c r="C28" s="8">
        <v>4</v>
      </c>
      <c r="D28" s="8">
        <v>12</v>
      </c>
      <c r="E28" s="8">
        <v>0</v>
      </c>
      <c r="F28" s="8">
        <v>320</v>
      </c>
      <c r="G28" s="8">
        <v>398</v>
      </c>
      <c r="H28" s="48">
        <f t="shared" si="0"/>
        <v>0.8040201005025126</v>
      </c>
      <c r="I28" s="48">
        <f t="shared" si="1"/>
        <v>0.37356090630064431</v>
      </c>
      <c r="J28" s="48">
        <v>0.25</v>
      </c>
      <c r="K28" s="48">
        <f t="shared" si="2"/>
        <v>0.12356090630064431</v>
      </c>
      <c r="L28" s="8"/>
      <c r="M28" s="8"/>
      <c r="N28" s="8"/>
    </row>
    <row r="29" spans="1:14" x14ac:dyDescent="0.35">
      <c r="A29" s="6">
        <v>2015</v>
      </c>
      <c r="B29" t="s">
        <v>76</v>
      </c>
      <c r="C29" s="8">
        <v>5</v>
      </c>
      <c r="D29" s="8">
        <v>11</v>
      </c>
      <c r="E29" s="8">
        <v>0</v>
      </c>
      <c r="F29" s="8">
        <v>238</v>
      </c>
      <c r="G29" s="8">
        <v>387</v>
      </c>
      <c r="H29" s="48">
        <f t="shared" si="0"/>
        <v>0.61498708010335912</v>
      </c>
      <c r="I29" s="48">
        <f t="shared" si="1"/>
        <v>0.24009020548790527</v>
      </c>
      <c r="J29" s="48">
        <v>0.313</v>
      </c>
      <c r="K29" s="48">
        <f t="shared" si="2"/>
        <v>7.2909794512094728E-2</v>
      </c>
      <c r="L29" s="8"/>
      <c r="M29" s="8"/>
      <c r="N29" s="8"/>
    </row>
    <row r="30" spans="1:14" x14ac:dyDescent="0.35">
      <c r="A30" s="6">
        <v>2015</v>
      </c>
      <c r="B30" t="s">
        <v>85</v>
      </c>
      <c r="C30" s="8">
        <v>10</v>
      </c>
      <c r="D30" s="8">
        <v>6</v>
      </c>
      <c r="E30" s="8">
        <v>0</v>
      </c>
      <c r="F30" s="8">
        <v>423</v>
      </c>
      <c r="G30" s="8">
        <v>277</v>
      </c>
      <c r="H30" s="48">
        <f t="shared" si="0"/>
        <v>1.5270758122743682</v>
      </c>
      <c r="I30" s="48">
        <f t="shared" si="1"/>
        <v>0.73171683137318189</v>
      </c>
      <c r="J30" s="48">
        <v>0.625</v>
      </c>
      <c r="K30" s="48">
        <f t="shared" si="2"/>
        <v>0.10671683137318189</v>
      </c>
      <c r="L30" s="8"/>
      <c r="M30" s="8"/>
      <c r="N30" s="8"/>
    </row>
    <row r="31" spans="1:14" x14ac:dyDescent="0.35">
      <c r="A31" s="6">
        <v>2015</v>
      </c>
      <c r="B31" t="s">
        <v>75</v>
      </c>
      <c r="C31" s="8">
        <v>7</v>
      </c>
      <c r="D31" s="8">
        <v>9</v>
      </c>
      <c r="E31" s="8">
        <v>0</v>
      </c>
      <c r="F31" s="8">
        <v>280</v>
      </c>
      <c r="G31" s="8">
        <v>330</v>
      </c>
      <c r="H31" s="48">
        <f t="shared" si="0"/>
        <v>0.84848484848484851</v>
      </c>
      <c r="I31" s="48">
        <f t="shared" si="1"/>
        <v>0.40386217259364093</v>
      </c>
      <c r="J31" s="48">
        <v>0.438</v>
      </c>
      <c r="K31" s="48">
        <f t="shared" si="2"/>
        <v>3.4137827406359067E-2</v>
      </c>
      <c r="L31" s="8"/>
      <c r="M31" s="8"/>
      <c r="N31" s="8"/>
    </row>
    <row r="32" spans="1:14" x14ac:dyDescent="0.35">
      <c r="A32" s="6">
        <v>2015</v>
      </c>
      <c r="B32" t="s">
        <v>74</v>
      </c>
      <c r="C32" s="8">
        <v>6</v>
      </c>
      <c r="D32" s="8">
        <v>10</v>
      </c>
      <c r="E32" s="8">
        <v>0</v>
      </c>
      <c r="F32" s="8">
        <v>342</v>
      </c>
      <c r="G32" s="8">
        <v>417</v>
      </c>
      <c r="H32" s="48">
        <f t="shared" si="0"/>
        <v>0.82014388489208634</v>
      </c>
      <c r="I32" s="48">
        <f t="shared" si="1"/>
        <v>0.38463685949603438</v>
      </c>
      <c r="J32" s="48">
        <v>0.375</v>
      </c>
      <c r="K32" s="48">
        <f t="shared" si="2"/>
        <v>9.6368594960343779E-3</v>
      </c>
      <c r="L32" s="8"/>
      <c r="M32" s="8"/>
      <c r="N32" s="8"/>
    </row>
    <row r="33" spans="1:14" x14ac:dyDescent="0.35">
      <c r="A33" s="6">
        <v>2015</v>
      </c>
      <c r="B33" t="s">
        <v>64</v>
      </c>
      <c r="C33" s="8">
        <v>3</v>
      </c>
      <c r="D33" s="8">
        <v>13</v>
      </c>
      <c r="E33" s="8">
        <v>0</v>
      </c>
      <c r="F33" s="8">
        <v>299</v>
      </c>
      <c r="G33" s="8">
        <v>423</v>
      </c>
      <c r="H33" s="48">
        <f t="shared" si="0"/>
        <v>0.70685579196217496</v>
      </c>
      <c r="I33" s="48">
        <f t="shared" si="1"/>
        <v>0.30529245012206768</v>
      </c>
      <c r="J33" s="48">
        <v>0.188</v>
      </c>
      <c r="K33" s="48">
        <f t="shared" si="2"/>
        <v>0.11729245012206768</v>
      </c>
      <c r="L33" s="8"/>
      <c r="M33" s="8"/>
      <c r="N33" s="8"/>
    </row>
    <row r="34" spans="1:14" x14ac:dyDescent="0.35">
      <c r="A34" s="6">
        <v>2015</v>
      </c>
      <c r="B34" t="s">
        <v>79</v>
      </c>
      <c r="C34" s="8">
        <v>9</v>
      </c>
      <c r="D34" s="8">
        <v>7</v>
      </c>
      <c r="E34" s="8">
        <v>0</v>
      </c>
      <c r="F34" s="8">
        <v>388</v>
      </c>
      <c r="G34" s="8">
        <v>379</v>
      </c>
      <c r="H34" s="48">
        <f t="shared" si="0"/>
        <v>1.0237467018469657</v>
      </c>
      <c r="I34" s="48">
        <f t="shared" si="1"/>
        <v>0.51390187827583245</v>
      </c>
      <c r="J34" s="48">
        <v>0.56299999999999994</v>
      </c>
      <c r="K34" s="48">
        <f t="shared" si="2"/>
        <v>4.9098121724167498E-2</v>
      </c>
      <c r="L34" s="8"/>
      <c r="M34" s="8"/>
      <c r="N34" s="8"/>
    </row>
    <row r="35" spans="1:14" x14ac:dyDescent="0.35">
      <c r="A35" s="6">
        <v>2014</v>
      </c>
      <c r="B35" s="6" t="s">
        <v>83</v>
      </c>
      <c r="C35" s="6">
        <v>11</v>
      </c>
      <c r="D35" s="6">
        <v>5</v>
      </c>
      <c r="E35" s="6">
        <v>0</v>
      </c>
      <c r="F35" s="6">
        <v>310</v>
      </c>
      <c r="G35" s="6">
        <v>299</v>
      </c>
      <c r="H35" s="48">
        <f t="shared" si="0"/>
        <v>1.0367892976588629</v>
      </c>
      <c r="I35" s="48">
        <f t="shared" si="1"/>
        <v>0.52139319999157274</v>
      </c>
      <c r="J35" s="50">
        <v>0.68799999999999994</v>
      </c>
      <c r="K35" s="48">
        <f t="shared" si="2"/>
        <v>0.1666068000084272</v>
      </c>
    </row>
    <row r="36" spans="1:14" x14ac:dyDescent="0.35">
      <c r="A36" s="6">
        <v>2014</v>
      </c>
      <c r="B36" s="6" t="s">
        <v>72</v>
      </c>
      <c r="C36" s="6">
        <v>6</v>
      </c>
      <c r="D36" s="6">
        <v>10</v>
      </c>
      <c r="E36" s="6">
        <v>0</v>
      </c>
      <c r="F36" s="6">
        <v>381</v>
      </c>
      <c r="G36" s="6">
        <v>417</v>
      </c>
      <c r="H36" s="48">
        <f t="shared" si="0"/>
        <v>0.91366906474820142</v>
      </c>
      <c r="I36" s="48">
        <f t="shared" si="1"/>
        <v>0.44670822916063857</v>
      </c>
      <c r="J36" s="50">
        <v>0.375</v>
      </c>
      <c r="K36" s="48">
        <f t="shared" si="2"/>
        <v>7.170822916063857E-2</v>
      </c>
    </row>
    <row r="37" spans="1:14" x14ac:dyDescent="0.35">
      <c r="A37" s="6">
        <v>2014</v>
      </c>
      <c r="B37" s="6" t="s">
        <v>60</v>
      </c>
      <c r="C37" s="6">
        <v>10</v>
      </c>
      <c r="D37" s="6">
        <v>6</v>
      </c>
      <c r="E37" s="6">
        <v>0</v>
      </c>
      <c r="F37" s="6">
        <v>409</v>
      </c>
      <c r="G37" s="6">
        <v>302</v>
      </c>
      <c r="H37" s="48">
        <f t="shared" si="0"/>
        <v>1.3543046357615893</v>
      </c>
      <c r="I37" s="48">
        <f t="shared" si="1"/>
        <v>0.67234114755407948</v>
      </c>
      <c r="J37" s="50">
        <v>0.625</v>
      </c>
      <c r="K37" s="48">
        <f t="shared" si="2"/>
        <v>4.7341147554079477E-2</v>
      </c>
    </row>
    <row r="38" spans="1:14" x14ac:dyDescent="0.35">
      <c r="A38" s="6">
        <v>2014</v>
      </c>
      <c r="B38" s="6" t="s">
        <v>58</v>
      </c>
      <c r="C38" s="6">
        <v>9</v>
      </c>
      <c r="D38" s="6">
        <v>7</v>
      </c>
      <c r="E38" s="6">
        <v>0</v>
      </c>
      <c r="F38" s="6">
        <v>343</v>
      </c>
      <c r="G38" s="6">
        <v>289</v>
      </c>
      <c r="H38" s="48">
        <f t="shared" si="0"/>
        <v>1.1868512110726643</v>
      </c>
      <c r="I38" s="48">
        <f t="shared" si="1"/>
        <v>0.60012594559114985</v>
      </c>
      <c r="J38" s="50">
        <v>0.56299999999999994</v>
      </c>
      <c r="K38" s="48">
        <f t="shared" si="2"/>
        <v>3.71259455911499E-2</v>
      </c>
    </row>
    <row r="39" spans="1:14" x14ac:dyDescent="0.35">
      <c r="A39" s="6">
        <v>2014</v>
      </c>
      <c r="B39" s="6" t="s">
        <v>84</v>
      </c>
      <c r="C39" s="6">
        <v>7</v>
      </c>
      <c r="D39" s="6">
        <v>8</v>
      </c>
      <c r="E39" s="6">
        <v>1</v>
      </c>
      <c r="F39" s="6">
        <v>339</v>
      </c>
      <c r="G39" s="6">
        <v>374</v>
      </c>
      <c r="H39" s="48">
        <f t="shared" si="0"/>
        <v>0.9064171122994652</v>
      </c>
      <c r="I39" s="48">
        <f t="shared" si="1"/>
        <v>0.44204515827882179</v>
      </c>
      <c r="J39" s="50">
        <v>0.46899999999999997</v>
      </c>
      <c r="K39" s="48">
        <f t="shared" si="2"/>
        <v>2.695484172117818E-2</v>
      </c>
    </row>
    <row r="40" spans="1:14" x14ac:dyDescent="0.35">
      <c r="A40" s="6">
        <v>2014</v>
      </c>
      <c r="B40" s="6" t="s">
        <v>71</v>
      </c>
      <c r="C40" s="6">
        <v>5</v>
      </c>
      <c r="D40" s="6">
        <v>11</v>
      </c>
      <c r="E40" s="6">
        <v>0</v>
      </c>
      <c r="F40" s="6">
        <v>319</v>
      </c>
      <c r="G40" s="6">
        <v>442</v>
      </c>
      <c r="H40" s="48">
        <f t="shared" si="0"/>
        <v>0.72171945701357465</v>
      </c>
      <c r="I40" s="48">
        <f t="shared" si="1"/>
        <v>0.31585178652901508</v>
      </c>
      <c r="J40" s="50">
        <v>0.313</v>
      </c>
      <c r="K40" s="48">
        <f t="shared" si="2"/>
        <v>2.8517865290150768E-3</v>
      </c>
    </row>
    <row r="41" spans="1:14" x14ac:dyDescent="0.35">
      <c r="A41" s="6">
        <v>2014</v>
      </c>
      <c r="B41" s="6" t="s">
        <v>86</v>
      </c>
      <c r="C41" s="6">
        <v>10</v>
      </c>
      <c r="D41" s="6">
        <v>5</v>
      </c>
      <c r="E41" s="6">
        <v>1</v>
      </c>
      <c r="F41" s="6">
        <v>365</v>
      </c>
      <c r="G41" s="6">
        <v>344</v>
      </c>
      <c r="H41" s="48">
        <f t="shared" si="0"/>
        <v>1.0610465116279071</v>
      </c>
      <c r="I41" s="48">
        <f t="shared" si="1"/>
        <v>0.53505141114776666</v>
      </c>
      <c r="J41" s="50">
        <v>0.65600000000000003</v>
      </c>
      <c r="K41" s="48">
        <f t="shared" si="2"/>
        <v>0.12094858885223336</v>
      </c>
    </row>
    <row r="42" spans="1:14" x14ac:dyDescent="0.35">
      <c r="A42" s="6">
        <v>2014</v>
      </c>
      <c r="B42" s="6" t="s">
        <v>61</v>
      </c>
      <c r="C42" s="6">
        <v>7</v>
      </c>
      <c r="D42" s="6">
        <v>9</v>
      </c>
      <c r="E42" s="6">
        <v>0</v>
      </c>
      <c r="F42" s="6">
        <v>299</v>
      </c>
      <c r="G42" s="6">
        <v>337</v>
      </c>
      <c r="H42" s="48">
        <f t="shared" si="0"/>
        <v>0.88724035608308605</v>
      </c>
      <c r="I42" s="48">
        <f t="shared" si="1"/>
        <v>0.42958481957735278</v>
      </c>
      <c r="J42" s="50">
        <v>0.438</v>
      </c>
      <c r="K42" s="48">
        <f t="shared" si="2"/>
        <v>8.4151804226472171E-3</v>
      </c>
    </row>
    <row r="43" spans="1:14" x14ac:dyDescent="0.35">
      <c r="A43" s="6">
        <v>2014</v>
      </c>
      <c r="B43" s="6" t="s">
        <v>69</v>
      </c>
      <c r="C43" s="6">
        <v>12</v>
      </c>
      <c r="D43" s="6">
        <v>4</v>
      </c>
      <c r="E43" s="6">
        <v>0</v>
      </c>
      <c r="F43" s="6">
        <v>467</v>
      </c>
      <c r="G43" s="6">
        <v>352</v>
      </c>
      <c r="H43" s="48">
        <f t="shared" si="0"/>
        <v>1.3267045454545454</v>
      </c>
      <c r="I43" s="48">
        <f t="shared" si="1"/>
        <v>0.66150191747336229</v>
      </c>
      <c r="J43" s="50">
        <v>0.75</v>
      </c>
      <c r="K43" s="48">
        <f t="shared" si="2"/>
        <v>8.8498082526637711E-2</v>
      </c>
    </row>
    <row r="44" spans="1:14" x14ac:dyDescent="0.35">
      <c r="A44" s="6">
        <v>2014</v>
      </c>
      <c r="B44" s="6" t="s">
        <v>87</v>
      </c>
      <c r="C44" s="6">
        <v>12</v>
      </c>
      <c r="D44" s="6">
        <v>4</v>
      </c>
      <c r="E44" s="6">
        <v>0</v>
      </c>
      <c r="F44" s="6">
        <v>482</v>
      </c>
      <c r="G44" s="6">
        <v>354</v>
      </c>
      <c r="H44" s="48">
        <f t="shared" si="0"/>
        <v>1.3615819209039548</v>
      </c>
      <c r="I44" s="48">
        <f t="shared" si="1"/>
        <v>0.67513300558745792</v>
      </c>
      <c r="J44" s="50">
        <v>0.75</v>
      </c>
      <c r="K44" s="48">
        <f t="shared" si="2"/>
        <v>7.4866994412542076E-2</v>
      </c>
    </row>
    <row r="45" spans="1:14" x14ac:dyDescent="0.35">
      <c r="A45" s="6">
        <v>2014</v>
      </c>
      <c r="B45" s="6" t="s">
        <v>70</v>
      </c>
      <c r="C45" s="6">
        <v>11</v>
      </c>
      <c r="D45" s="6">
        <v>5</v>
      </c>
      <c r="E45" s="6">
        <v>0</v>
      </c>
      <c r="F45" s="6">
        <v>321</v>
      </c>
      <c r="G45" s="6">
        <v>282</v>
      </c>
      <c r="H45" s="48">
        <f t="shared" si="0"/>
        <v>1.1382978723404256</v>
      </c>
      <c r="I45" s="48">
        <f t="shared" si="1"/>
        <v>0.57615177761000846</v>
      </c>
      <c r="J45" s="50">
        <v>0.68799999999999994</v>
      </c>
      <c r="K45" s="48">
        <f t="shared" si="2"/>
        <v>0.11184822238999148</v>
      </c>
    </row>
    <row r="46" spans="1:14" x14ac:dyDescent="0.35">
      <c r="A46" s="6">
        <v>2014</v>
      </c>
      <c r="B46" s="6" t="s">
        <v>89</v>
      </c>
      <c r="C46" s="6">
        <v>12</v>
      </c>
      <c r="D46" s="6">
        <v>4</v>
      </c>
      <c r="E46" s="6">
        <v>0</v>
      </c>
      <c r="F46" s="6">
        <v>486</v>
      </c>
      <c r="G46" s="6">
        <v>348</v>
      </c>
      <c r="H46" s="48">
        <f t="shared" si="0"/>
        <v>1.396551724137931</v>
      </c>
      <c r="I46" s="48">
        <f t="shared" si="1"/>
        <v>0.68817361128577814</v>
      </c>
      <c r="J46" s="50">
        <v>0.75</v>
      </c>
      <c r="K46" s="48">
        <f t="shared" si="2"/>
        <v>6.1826388714221858E-2</v>
      </c>
    </row>
    <row r="47" spans="1:14" x14ac:dyDescent="0.35">
      <c r="A47" s="6">
        <v>2014</v>
      </c>
      <c r="B47" s="6" t="s">
        <v>77</v>
      </c>
      <c r="C47" s="6">
        <v>9</v>
      </c>
      <c r="D47" s="6">
        <v>7</v>
      </c>
      <c r="E47" s="6">
        <v>0</v>
      </c>
      <c r="F47" s="6">
        <v>372</v>
      </c>
      <c r="G47" s="6">
        <v>307</v>
      </c>
      <c r="H47" s="48">
        <f t="shared" si="0"/>
        <v>1.2117263843648209</v>
      </c>
      <c r="I47" s="48">
        <f t="shared" si="1"/>
        <v>0.61186281991057978</v>
      </c>
      <c r="J47" s="50">
        <v>0.56299999999999994</v>
      </c>
      <c r="K47" s="48">
        <f t="shared" si="2"/>
        <v>4.8862819910579836E-2</v>
      </c>
    </row>
    <row r="48" spans="1:14" x14ac:dyDescent="0.35">
      <c r="A48" s="6">
        <v>2014</v>
      </c>
      <c r="B48" s="6" t="s">
        <v>62</v>
      </c>
      <c r="C48" s="6">
        <v>11</v>
      </c>
      <c r="D48" s="6">
        <v>5</v>
      </c>
      <c r="E48" s="6">
        <v>0</v>
      </c>
      <c r="F48" s="6">
        <v>458</v>
      </c>
      <c r="G48" s="6">
        <v>369</v>
      </c>
      <c r="H48" s="48">
        <f t="shared" si="0"/>
        <v>1.2411924119241193</v>
      </c>
      <c r="I48" s="48">
        <f t="shared" si="1"/>
        <v>0.62529674116395695</v>
      </c>
      <c r="J48" s="50">
        <v>0.68799999999999994</v>
      </c>
      <c r="K48" s="48">
        <f t="shared" si="2"/>
        <v>6.2703258836042997E-2</v>
      </c>
    </row>
    <row r="49" spans="1:11" x14ac:dyDescent="0.35">
      <c r="A49" s="6">
        <v>2014</v>
      </c>
      <c r="B49" s="6" t="s">
        <v>63</v>
      </c>
      <c r="C49" s="6">
        <v>3</v>
      </c>
      <c r="D49" s="6">
        <v>13</v>
      </c>
      <c r="E49" s="6">
        <v>0</v>
      </c>
      <c r="F49" s="6">
        <v>249</v>
      </c>
      <c r="G49" s="6">
        <v>412</v>
      </c>
      <c r="H49" s="48">
        <f t="shared" si="0"/>
        <v>0.60436893203883491</v>
      </c>
      <c r="I49" s="48">
        <f t="shared" si="1"/>
        <v>0.23264033645725274</v>
      </c>
      <c r="J49" s="50">
        <v>0.188</v>
      </c>
      <c r="K49" s="48">
        <f t="shared" si="2"/>
        <v>4.4640336457252738E-2</v>
      </c>
    </row>
    <row r="50" spans="1:11" x14ac:dyDescent="0.35">
      <c r="A50" s="6">
        <v>2014</v>
      </c>
      <c r="B50" s="6" t="s">
        <v>78</v>
      </c>
      <c r="C50" s="6">
        <v>9</v>
      </c>
      <c r="D50" s="6">
        <v>7</v>
      </c>
      <c r="E50" s="6">
        <v>0</v>
      </c>
      <c r="F50" s="6">
        <v>353</v>
      </c>
      <c r="G50" s="6">
        <v>281</v>
      </c>
      <c r="H50" s="48">
        <f t="shared" si="0"/>
        <v>1.2562277580071175</v>
      </c>
      <c r="I50" s="48">
        <f t="shared" si="1"/>
        <v>0.63195866391025857</v>
      </c>
      <c r="J50" s="50">
        <v>0.56299999999999994</v>
      </c>
      <c r="K50" s="48">
        <f t="shared" si="2"/>
        <v>6.8958663910258622E-2</v>
      </c>
    </row>
    <row r="51" spans="1:11" x14ac:dyDescent="0.35">
      <c r="A51" s="6">
        <v>2014</v>
      </c>
      <c r="B51" s="6" t="s">
        <v>59</v>
      </c>
      <c r="C51" s="6">
        <v>8</v>
      </c>
      <c r="D51" s="6">
        <v>8</v>
      </c>
      <c r="E51" s="6">
        <v>0</v>
      </c>
      <c r="F51" s="6">
        <v>388</v>
      </c>
      <c r="G51" s="6">
        <v>373</v>
      </c>
      <c r="H51" s="48">
        <f t="shared" si="0"/>
        <v>1.0402144772117963</v>
      </c>
      <c r="I51" s="48">
        <f t="shared" si="1"/>
        <v>0.52334346752125549</v>
      </c>
      <c r="J51" s="50">
        <v>0.5</v>
      </c>
      <c r="K51" s="48">
        <f t="shared" si="2"/>
        <v>2.334346752125549E-2</v>
      </c>
    </row>
    <row r="52" spans="1:11" x14ac:dyDescent="0.35">
      <c r="A52" s="6">
        <v>2014</v>
      </c>
      <c r="B52" s="6" t="s">
        <v>80</v>
      </c>
      <c r="C52" s="6">
        <v>7</v>
      </c>
      <c r="D52" s="6">
        <v>9</v>
      </c>
      <c r="E52" s="6">
        <v>0</v>
      </c>
      <c r="F52" s="6">
        <v>325</v>
      </c>
      <c r="G52" s="6">
        <v>343</v>
      </c>
      <c r="H52" s="48">
        <f t="shared" si="0"/>
        <v>0.94752186588921283</v>
      </c>
      <c r="I52" s="48">
        <f t="shared" si="1"/>
        <v>0.46810450055361186</v>
      </c>
      <c r="J52" s="50">
        <v>0.438</v>
      </c>
      <c r="K52" s="48">
        <f t="shared" si="2"/>
        <v>3.0104500553611857E-2</v>
      </c>
    </row>
    <row r="53" spans="1:11" x14ac:dyDescent="0.35">
      <c r="A53" s="6">
        <v>2014</v>
      </c>
      <c r="B53" s="6" t="s">
        <v>88</v>
      </c>
      <c r="C53" s="6">
        <v>12</v>
      </c>
      <c r="D53" s="6">
        <v>4</v>
      </c>
      <c r="E53" s="6">
        <v>0</v>
      </c>
      <c r="F53" s="6">
        <v>468</v>
      </c>
      <c r="G53" s="6">
        <v>313</v>
      </c>
      <c r="H53" s="48">
        <f t="shared" si="0"/>
        <v>1.4952076677316295</v>
      </c>
      <c r="I53" s="48">
        <f t="shared" si="1"/>
        <v>0.72179206553706488</v>
      </c>
      <c r="J53" s="50">
        <v>0.75</v>
      </c>
      <c r="K53" s="48">
        <f t="shared" si="2"/>
        <v>2.8207934462935125E-2</v>
      </c>
    </row>
    <row r="54" spans="1:11" x14ac:dyDescent="0.35">
      <c r="A54" s="6">
        <v>2014</v>
      </c>
      <c r="B54" s="6" t="s">
        <v>73</v>
      </c>
      <c r="C54" s="6">
        <v>7</v>
      </c>
      <c r="D54" s="6">
        <v>9</v>
      </c>
      <c r="E54" s="6">
        <v>0</v>
      </c>
      <c r="F54" s="6">
        <v>401</v>
      </c>
      <c r="G54" s="6">
        <v>424</v>
      </c>
      <c r="H54" s="48">
        <f t="shared" si="0"/>
        <v>0.94575471698113212</v>
      </c>
      <c r="I54" s="48">
        <f t="shared" si="1"/>
        <v>0.46700310151043767</v>
      </c>
      <c r="J54" s="50">
        <v>0.438</v>
      </c>
      <c r="K54" s="48">
        <f t="shared" si="2"/>
        <v>2.9003101510437668E-2</v>
      </c>
    </row>
    <row r="55" spans="1:11" x14ac:dyDescent="0.35">
      <c r="A55" s="6">
        <v>2014</v>
      </c>
      <c r="B55" s="6" t="s">
        <v>68</v>
      </c>
      <c r="C55" s="6">
        <v>6</v>
      </c>
      <c r="D55" s="6">
        <v>10</v>
      </c>
      <c r="E55" s="6">
        <v>0</v>
      </c>
      <c r="F55" s="6">
        <v>380</v>
      </c>
      <c r="G55" s="6">
        <v>400</v>
      </c>
      <c r="H55" s="48">
        <f t="shared" si="0"/>
        <v>0.95</v>
      </c>
      <c r="I55" s="48">
        <f t="shared" si="1"/>
        <v>0.46964609489650455</v>
      </c>
      <c r="J55" s="50">
        <v>0.375</v>
      </c>
      <c r="K55" s="48">
        <f t="shared" si="2"/>
        <v>9.4646094896504551E-2</v>
      </c>
    </row>
    <row r="56" spans="1:11" x14ac:dyDescent="0.35">
      <c r="A56" s="6">
        <v>2014</v>
      </c>
      <c r="B56" s="6" t="s">
        <v>57</v>
      </c>
      <c r="C56" s="6">
        <v>4</v>
      </c>
      <c r="D56" s="6">
        <v>12</v>
      </c>
      <c r="E56" s="6">
        <v>0</v>
      </c>
      <c r="F56" s="6">
        <v>283</v>
      </c>
      <c r="G56" s="6">
        <v>401</v>
      </c>
      <c r="H56" s="48">
        <f t="shared" si="0"/>
        <v>0.70573566084788031</v>
      </c>
      <c r="I56" s="48">
        <f t="shared" si="1"/>
        <v>0.3044958679623061</v>
      </c>
      <c r="J56" s="50">
        <v>0.25</v>
      </c>
      <c r="K56" s="48">
        <f t="shared" si="2"/>
        <v>5.4495867962306099E-2</v>
      </c>
    </row>
    <row r="57" spans="1:11" x14ac:dyDescent="0.35">
      <c r="A57" s="6">
        <v>2014</v>
      </c>
      <c r="B57" s="6" t="s">
        <v>65</v>
      </c>
      <c r="C57" s="6">
        <v>3</v>
      </c>
      <c r="D57" s="6">
        <v>13</v>
      </c>
      <c r="E57" s="6">
        <v>0</v>
      </c>
      <c r="F57" s="6">
        <v>253</v>
      </c>
      <c r="G57" s="6">
        <v>452</v>
      </c>
      <c r="H57" s="48">
        <f t="shared" si="0"/>
        <v>0.55973451327433632</v>
      </c>
      <c r="I57" s="48">
        <f t="shared" si="1"/>
        <v>0.20176591939970889</v>
      </c>
      <c r="J57" s="50">
        <v>0.188</v>
      </c>
      <c r="K57" s="48">
        <f t="shared" si="2"/>
        <v>1.3765919399708892E-2</v>
      </c>
    </row>
    <row r="58" spans="1:11" x14ac:dyDescent="0.35">
      <c r="A58" s="6">
        <v>2014</v>
      </c>
      <c r="B58" s="6" t="s">
        <v>67</v>
      </c>
      <c r="C58" s="6">
        <v>10</v>
      </c>
      <c r="D58" s="6">
        <v>6</v>
      </c>
      <c r="E58" s="6">
        <v>0</v>
      </c>
      <c r="F58" s="6">
        <v>474</v>
      </c>
      <c r="G58" s="6">
        <v>400</v>
      </c>
      <c r="H58" s="48">
        <f t="shared" si="0"/>
        <v>1.1850000000000001</v>
      </c>
      <c r="I58" s="48">
        <f t="shared" si="1"/>
        <v>0.59923782290851446</v>
      </c>
      <c r="J58" s="50">
        <v>0.625</v>
      </c>
      <c r="K58" s="48">
        <f t="shared" si="2"/>
        <v>2.5762177091485539E-2</v>
      </c>
    </row>
    <row r="59" spans="1:11" x14ac:dyDescent="0.35">
      <c r="A59" s="6">
        <v>2014</v>
      </c>
      <c r="B59" s="6" t="s">
        <v>82</v>
      </c>
      <c r="C59" s="6">
        <v>11</v>
      </c>
      <c r="D59" s="6">
        <v>5</v>
      </c>
      <c r="E59" s="6">
        <v>0</v>
      </c>
      <c r="F59" s="6">
        <v>436</v>
      </c>
      <c r="G59" s="6">
        <v>368</v>
      </c>
      <c r="H59" s="48">
        <f t="shared" si="0"/>
        <v>1.1847826086956521</v>
      </c>
      <c r="I59" s="48">
        <f t="shared" si="1"/>
        <v>0.59913339497555596</v>
      </c>
      <c r="J59" s="50">
        <v>0.68799999999999994</v>
      </c>
      <c r="K59" s="48">
        <f t="shared" si="2"/>
        <v>8.886660502444399E-2</v>
      </c>
    </row>
    <row r="60" spans="1:11" x14ac:dyDescent="0.35">
      <c r="A60" s="6">
        <v>2014</v>
      </c>
      <c r="B60" s="6" t="s">
        <v>66</v>
      </c>
      <c r="C60" s="6">
        <v>9</v>
      </c>
      <c r="D60" s="6">
        <v>7</v>
      </c>
      <c r="E60" s="6">
        <v>0</v>
      </c>
      <c r="F60" s="6">
        <v>348</v>
      </c>
      <c r="G60" s="6">
        <v>348</v>
      </c>
      <c r="H60" s="48">
        <f t="shared" si="0"/>
        <v>1</v>
      </c>
      <c r="I60" s="48">
        <f t="shared" si="1"/>
        <v>0.5</v>
      </c>
      <c r="J60" s="50">
        <v>0.56299999999999994</v>
      </c>
      <c r="K60" s="48">
        <f t="shared" si="2"/>
        <v>6.2999999999999945E-2</v>
      </c>
    </row>
    <row r="61" spans="1:11" x14ac:dyDescent="0.35">
      <c r="A61" s="6">
        <v>2014</v>
      </c>
      <c r="B61" s="6" t="s">
        <v>76</v>
      </c>
      <c r="C61" s="6">
        <v>8</v>
      </c>
      <c r="D61" s="6">
        <v>8</v>
      </c>
      <c r="E61" s="6">
        <v>0</v>
      </c>
      <c r="F61" s="6">
        <v>306</v>
      </c>
      <c r="G61" s="6">
        <v>340</v>
      </c>
      <c r="H61" s="48">
        <f t="shared" si="0"/>
        <v>0.9</v>
      </c>
      <c r="I61" s="48">
        <f t="shared" si="1"/>
        <v>0.43789625224379608</v>
      </c>
      <c r="J61" s="50">
        <v>0.5</v>
      </c>
      <c r="K61" s="48">
        <f t="shared" si="2"/>
        <v>6.210374775620392E-2</v>
      </c>
    </row>
    <row r="62" spans="1:11" x14ac:dyDescent="0.35">
      <c r="A62" s="6">
        <v>2014</v>
      </c>
      <c r="B62" s="6" t="s">
        <v>85</v>
      </c>
      <c r="C62" s="6">
        <v>12</v>
      </c>
      <c r="D62" s="6">
        <v>4</v>
      </c>
      <c r="E62" s="6">
        <v>0</v>
      </c>
      <c r="F62" s="6">
        <v>394</v>
      </c>
      <c r="G62" s="6">
        <v>254</v>
      </c>
      <c r="H62" s="48">
        <f t="shared" si="0"/>
        <v>1.5511811023622046</v>
      </c>
      <c r="I62" s="48">
        <f t="shared" si="1"/>
        <v>0.73894057511700928</v>
      </c>
      <c r="J62" s="50">
        <v>0.75</v>
      </c>
      <c r="K62" s="48">
        <f t="shared" si="2"/>
        <v>1.105942488299072E-2</v>
      </c>
    </row>
    <row r="63" spans="1:11" x14ac:dyDescent="0.35">
      <c r="A63" s="6">
        <v>2014</v>
      </c>
      <c r="B63" s="6" t="s">
        <v>75</v>
      </c>
      <c r="C63" s="6">
        <v>6</v>
      </c>
      <c r="D63" s="6">
        <v>10</v>
      </c>
      <c r="E63" s="6">
        <v>0</v>
      </c>
      <c r="F63" s="6">
        <v>324</v>
      </c>
      <c r="G63" s="6">
        <v>354</v>
      </c>
      <c r="H63" s="48">
        <f t="shared" si="0"/>
        <v>0.9152542372881356</v>
      </c>
      <c r="I63" s="48">
        <f t="shared" si="1"/>
        <v>0.44772385126459024</v>
      </c>
      <c r="J63" s="50">
        <v>0.375</v>
      </c>
      <c r="K63" s="48">
        <f t="shared" si="2"/>
        <v>7.2723851264590245E-2</v>
      </c>
    </row>
    <row r="64" spans="1:11" x14ac:dyDescent="0.35">
      <c r="A64" s="6">
        <v>2014</v>
      </c>
      <c r="B64" s="6" t="s">
        <v>74</v>
      </c>
      <c r="C64" s="6">
        <v>2</v>
      </c>
      <c r="D64" s="6">
        <v>14</v>
      </c>
      <c r="E64" s="6">
        <v>0</v>
      </c>
      <c r="F64" s="6">
        <v>277</v>
      </c>
      <c r="G64" s="6">
        <v>410</v>
      </c>
      <c r="H64" s="48">
        <f t="shared" si="0"/>
        <v>0.67560975609756102</v>
      </c>
      <c r="I64" s="48">
        <f t="shared" si="1"/>
        <v>0.28305234669063739</v>
      </c>
      <c r="J64" s="50">
        <v>0.125</v>
      </c>
      <c r="K64" s="48">
        <f t="shared" si="2"/>
        <v>0.15805234669063739</v>
      </c>
    </row>
    <row r="65" spans="1:11" x14ac:dyDescent="0.35">
      <c r="A65" s="6">
        <v>2014</v>
      </c>
      <c r="B65" s="6" t="s">
        <v>64</v>
      </c>
      <c r="C65" s="6">
        <v>2</v>
      </c>
      <c r="D65" s="6">
        <v>14</v>
      </c>
      <c r="E65" s="6">
        <v>0</v>
      </c>
      <c r="F65" s="6">
        <v>254</v>
      </c>
      <c r="G65" s="6">
        <v>438</v>
      </c>
      <c r="H65" s="48">
        <f t="shared" si="0"/>
        <v>0.57990867579908678</v>
      </c>
      <c r="I65" s="48">
        <f t="shared" si="1"/>
        <v>0.21561989732791412</v>
      </c>
      <c r="J65" s="50">
        <v>0.125</v>
      </c>
      <c r="K65" s="48">
        <f t="shared" si="2"/>
        <v>9.0619897327914117E-2</v>
      </c>
    </row>
    <row r="66" spans="1:11" x14ac:dyDescent="0.35">
      <c r="A66" s="6">
        <v>2014</v>
      </c>
      <c r="B66" s="6" t="s">
        <v>79</v>
      </c>
      <c r="C66" s="6">
        <v>4</v>
      </c>
      <c r="D66" s="6">
        <v>12</v>
      </c>
      <c r="E66" s="6">
        <v>0</v>
      </c>
      <c r="F66" s="6">
        <v>301</v>
      </c>
      <c r="G66" s="6">
        <v>438</v>
      </c>
      <c r="H66" s="48">
        <f t="shared" si="0"/>
        <v>0.68721461187214616</v>
      </c>
      <c r="I66" s="48">
        <f t="shared" si="1"/>
        <v>0.29131468908451197</v>
      </c>
      <c r="J66" s="50">
        <v>0.25</v>
      </c>
      <c r="K66" s="48">
        <f t="shared" si="2"/>
        <v>4.1314689084511969E-2</v>
      </c>
    </row>
    <row r="67" spans="1:11" x14ac:dyDescent="0.35">
      <c r="A67" s="6">
        <v>2013</v>
      </c>
      <c r="B67" s="6" t="s">
        <v>83</v>
      </c>
      <c r="C67" s="6">
        <v>10</v>
      </c>
      <c r="D67" s="6">
        <v>6</v>
      </c>
      <c r="E67" s="6">
        <v>0</v>
      </c>
      <c r="F67" s="6">
        <v>379</v>
      </c>
      <c r="G67" s="6">
        <v>324</v>
      </c>
      <c r="H67" s="48">
        <f t="shared" ref="H67:H130" si="3">F67/G67</f>
        <v>1.1697530864197532</v>
      </c>
      <c r="I67" s="48">
        <f t="shared" ref="I67:I130" si="4">(H67^$I$1)/((H67^$I$1)+1)</f>
        <v>0.5918452177849387</v>
      </c>
      <c r="J67" s="50">
        <v>0.625</v>
      </c>
      <c r="K67" s="48">
        <f t="shared" ref="K67:K130" si="5">ABS(I67-J67)</f>
        <v>3.3154782215061296E-2</v>
      </c>
    </row>
    <row r="68" spans="1:11" x14ac:dyDescent="0.35">
      <c r="A68" s="6">
        <v>2013</v>
      </c>
      <c r="B68" s="6" t="s">
        <v>72</v>
      </c>
      <c r="C68" s="6">
        <v>4</v>
      </c>
      <c r="D68" s="6">
        <v>12</v>
      </c>
      <c r="E68" s="6">
        <v>0</v>
      </c>
      <c r="F68" s="6">
        <v>353</v>
      </c>
      <c r="G68" s="6">
        <v>443</v>
      </c>
      <c r="H68" s="48">
        <f t="shared" si="3"/>
        <v>0.79683972911963885</v>
      </c>
      <c r="I68" s="48">
        <f t="shared" si="4"/>
        <v>0.36859917863845815</v>
      </c>
      <c r="J68" s="50">
        <v>0.25</v>
      </c>
      <c r="K68" s="48">
        <f t="shared" si="5"/>
        <v>0.11859917863845815</v>
      </c>
    </row>
    <row r="69" spans="1:11" x14ac:dyDescent="0.35">
      <c r="A69" s="6">
        <v>2013</v>
      </c>
      <c r="B69" s="6" t="s">
        <v>60</v>
      </c>
      <c r="C69" s="6">
        <v>8</v>
      </c>
      <c r="D69" s="6">
        <v>8</v>
      </c>
      <c r="E69" s="6">
        <v>0</v>
      </c>
      <c r="F69" s="6">
        <v>320</v>
      </c>
      <c r="G69" s="6">
        <v>352</v>
      </c>
      <c r="H69" s="48">
        <f t="shared" si="3"/>
        <v>0.90909090909090906</v>
      </c>
      <c r="I69" s="48">
        <f t="shared" si="4"/>
        <v>0.4437676159011138</v>
      </c>
      <c r="J69" s="50">
        <v>0.5</v>
      </c>
      <c r="K69" s="48">
        <f t="shared" si="5"/>
        <v>5.6232384098886201E-2</v>
      </c>
    </row>
    <row r="70" spans="1:11" x14ac:dyDescent="0.35">
      <c r="A70" s="6">
        <v>2013</v>
      </c>
      <c r="B70" s="6" t="s">
        <v>58</v>
      </c>
      <c r="C70" s="6">
        <v>6</v>
      </c>
      <c r="D70" s="6">
        <v>10</v>
      </c>
      <c r="E70" s="6">
        <v>0</v>
      </c>
      <c r="F70" s="6">
        <v>339</v>
      </c>
      <c r="G70" s="6">
        <v>388</v>
      </c>
      <c r="H70" s="48">
        <f t="shared" si="3"/>
        <v>0.87371134020618557</v>
      </c>
      <c r="I70" s="48">
        <f t="shared" si="4"/>
        <v>0.42068491118545093</v>
      </c>
      <c r="J70" s="50">
        <v>0.375</v>
      </c>
      <c r="K70" s="48">
        <f t="shared" si="5"/>
        <v>4.5684911185450927E-2</v>
      </c>
    </row>
    <row r="71" spans="1:11" x14ac:dyDescent="0.35">
      <c r="A71" s="6">
        <v>2013</v>
      </c>
      <c r="B71" s="6" t="s">
        <v>84</v>
      </c>
      <c r="C71" s="6">
        <v>12</v>
      </c>
      <c r="D71" s="6">
        <v>4</v>
      </c>
      <c r="E71" s="6">
        <v>0</v>
      </c>
      <c r="F71" s="6">
        <v>366</v>
      </c>
      <c r="G71" s="6">
        <v>241</v>
      </c>
      <c r="H71" s="48">
        <f t="shared" si="3"/>
        <v>1.5186721991701244</v>
      </c>
      <c r="I71" s="48">
        <f t="shared" si="4"/>
        <v>0.72914169698097808</v>
      </c>
      <c r="J71" s="50">
        <v>0.75</v>
      </c>
      <c r="K71" s="48">
        <f t="shared" si="5"/>
        <v>2.0858303019021918E-2</v>
      </c>
    </row>
    <row r="72" spans="1:11" x14ac:dyDescent="0.35">
      <c r="A72" s="6">
        <v>2013</v>
      </c>
      <c r="B72" s="6" t="s">
        <v>71</v>
      </c>
      <c r="C72" s="6">
        <v>8</v>
      </c>
      <c r="D72" s="6">
        <v>8</v>
      </c>
      <c r="E72" s="6">
        <v>0</v>
      </c>
      <c r="F72" s="6">
        <v>445</v>
      </c>
      <c r="G72" s="6">
        <v>478</v>
      </c>
      <c r="H72" s="48">
        <f t="shared" si="3"/>
        <v>0.93096234309623427</v>
      </c>
      <c r="I72" s="48">
        <f t="shared" si="4"/>
        <v>0.45771589022378217</v>
      </c>
      <c r="J72" s="50">
        <v>0.5</v>
      </c>
      <c r="K72" s="48">
        <f t="shared" si="5"/>
        <v>4.2284109776217826E-2</v>
      </c>
    </row>
    <row r="73" spans="1:11" x14ac:dyDescent="0.35">
      <c r="A73" s="6">
        <v>2013</v>
      </c>
      <c r="B73" s="6" t="s">
        <v>86</v>
      </c>
      <c r="C73" s="6">
        <v>11</v>
      </c>
      <c r="D73" s="6">
        <v>5</v>
      </c>
      <c r="E73" s="6">
        <v>0</v>
      </c>
      <c r="F73" s="6">
        <v>430</v>
      </c>
      <c r="G73" s="6">
        <v>305</v>
      </c>
      <c r="H73" s="48">
        <f t="shared" si="3"/>
        <v>1.4098360655737705</v>
      </c>
      <c r="I73" s="48">
        <f t="shared" si="4"/>
        <v>0.69296804013468316</v>
      </c>
      <c r="J73" s="50">
        <v>0.68799999999999994</v>
      </c>
      <c r="K73" s="48">
        <f t="shared" si="5"/>
        <v>4.9680401346832159E-3</v>
      </c>
    </row>
    <row r="74" spans="1:11" x14ac:dyDescent="0.35">
      <c r="A74" s="6">
        <v>2013</v>
      </c>
      <c r="B74" s="6" t="s">
        <v>61</v>
      </c>
      <c r="C74" s="6">
        <v>4</v>
      </c>
      <c r="D74" s="6">
        <v>12</v>
      </c>
      <c r="E74" s="6">
        <v>0</v>
      </c>
      <c r="F74" s="6">
        <v>308</v>
      </c>
      <c r="G74" s="6">
        <v>406</v>
      </c>
      <c r="H74" s="48">
        <f t="shared" si="3"/>
        <v>0.75862068965517238</v>
      </c>
      <c r="I74" s="48">
        <f t="shared" si="4"/>
        <v>0.3419265726613685</v>
      </c>
      <c r="J74" s="50">
        <v>0.25</v>
      </c>
      <c r="K74" s="48">
        <f t="shared" si="5"/>
        <v>9.19265726613685E-2</v>
      </c>
    </row>
    <row r="75" spans="1:11" x14ac:dyDescent="0.35">
      <c r="A75" s="6">
        <v>2013</v>
      </c>
      <c r="B75" s="6" t="s">
        <v>69</v>
      </c>
      <c r="C75" s="6">
        <v>8</v>
      </c>
      <c r="D75" s="6">
        <v>8</v>
      </c>
      <c r="E75" s="6">
        <v>0</v>
      </c>
      <c r="F75" s="6">
        <v>439</v>
      </c>
      <c r="G75" s="6">
        <v>432</v>
      </c>
      <c r="H75" s="48">
        <f t="shared" si="3"/>
        <v>1.0162037037037037</v>
      </c>
      <c r="I75" s="48">
        <f t="shared" si="4"/>
        <v>0.50952258962084473</v>
      </c>
      <c r="J75" s="50">
        <v>0.5</v>
      </c>
      <c r="K75" s="48">
        <f t="shared" si="5"/>
        <v>9.5225896208447347E-3</v>
      </c>
    </row>
    <row r="76" spans="1:11" x14ac:dyDescent="0.35">
      <c r="A76" s="6">
        <v>2013</v>
      </c>
      <c r="B76" s="6" t="s">
        <v>87</v>
      </c>
      <c r="C76" s="6">
        <v>13</v>
      </c>
      <c r="D76" s="6">
        <v>3</v>
      </c>
      <c r="E76" s="6">
        <v>0</v>
      </c>
      <c r="F76" s="6">
        <v>606</v>
      </c>
      <c r="G76" s="6">
        <v>399</v>
      </c>
      <c r="H76" s="48">
        <f t="shared" si="3"/>
        <v>1.518796992481203</v>
      </c>
      <c r="I76" s="48">
        <f t="shared" si="4"/>
        <v>0.72918015549283433</v>
      </c>
      <c r="J76" s="50">
        <v>0.81299999999999994</v>
      </c>
      <c r="K76" s="48">
        <f t="shared" si="5"/>
        <v>8.381984450716562E-2</v>
      </c>
    </row>
    <row r="77" spans="1:11" x14ac:dyDescent="0.35">
      <c r="A77" s="6">
        <v>2013</v>
      </c>
      <c r="B77" s="6" t="s">
        <v>70</v>
      </c>
      <c r="C77" s="6">
        <v>7</v>
      </c>
      <c r="D77" s="6">
        <v>9</v>
      </c>
      <c r="E77" s="6">
        <v>0</v>
      </c>
      <c r="F77" s="6">
        <v>395</v>
      </c>
      <c r="G77" s="6">
        <v>376</v>
      </c>
      <c r="H77" s="48">
        <f t="shared" si="3"/>
        <v>1.050531914893617</v>
      </c>
      <c r="I77" s="48">
        <f t="shared" si="4"/>
        <v>0.52917506927736979</v>
      </c>
      <c r="J77" s="50">
        <v>0.438</v>
      </c>
      <c r="K77" s="48">
        <f t="shared" si="5"/>
        <v>9.1175069277369791E-2</v>
      </c>
    </row>
    <row r="78" spans="1:11" x14ac:dyDescent="0.35">
      <c r="A78" s="6">
        <v>2013</v>
      </c>
      <c r="B78" s="6" t="s">
        <v>89</v>
      </c>
      <c r="C78" s="6">
        <v>8</v>
      </c>
      <c r="D78" s="6">
        <v>7</v>
      </c>
      <c r="E78" s="6">
        <v>1</v>
      </c>
      <c r="F78" s="6">
        <v>417</v>
      </c>
      <c r="G78" s="6">
        <v>428</v>
      </c>
      <c r="H78" s="48">
        <f t="shared" si="3"/>
        <v>0.97429906542056077</v>
      </c>
      <c r="I78" s="48">
        <f t="shared" si="4"/>
        <v>0.48457798642524408</v>
      </c>
      <c r="J78" s="50">
        <v>0.53100000000000003</v>
      </c>
      <c r="K78" s="48">
        <f t="shared" si="5"/>
        <v>4.6422013574755949E-2</v>
      </c>
    </row>
    <row r="79" spans="1:11" x14ac:dyDescent="0.35">
      <c r="A79" s="6">
        <v>2013</v>
      </c>
      <c r="B79" s="6" t="s">
        <v>77</v>
      </c>
      <c r="C79" s="6">
        <v>2</v>
      </c>
      <c r="D79" s="6">
        <v>14</v>
      </c>
      <c r="E79" s="6">
        <v>0</v>
      </c>
      <c r="F79" s="6">
        <v>276</v>
      </c>
      <c r="G79" s="6">
        <v>428</v>
      </c>
      <c r="H79" s="48">
        <f t="shared" si="3"/>
        <v>0.64485981308411211</v>
      </c>
      <c r="I79" s="48">
        <f t="shared" si="4"/>
        <v>0.2611940041596445</v>
      </c>
      <c r="J79" s="50">
        <v>0.125</v>
      </c>
      <c r="K79" s="48">
        <f t="shared" si="5"/>
        <v>0.1361940041596445</v>
      </c>
    </row>
    <row r="80" spans="1:11" x14ac:dyDescent="0.35">
      <c r="A80" s="6">
        <v>2013</v>
      </c>
      <c r="B80" s="6" t="s">
        <v>62</v>
      </c>
      <c r="C80" s="6">
        <v>11</v>
      </c>
      <c r="D80" s="6">
        <v>5</v>
      </c>
      <c r="E80" s="6">
        <v>0</v>
      </c>
      <c r="F80" s="6">
        <v>391</v>
      </c>
      <c r="G80" s="6">
        <v>336</v>
      </c>
      <c r="H80" s="48">
        <f t="shared" si="3"/>
        <v>1.1636904761904763</v>
      </c>
      <c r="I80" s="48">
        <f t="shared" si="4"/>
        <v>0.58886697082000394</v>
      </c>
      <c r="J80" s="50">
        <v>0.68799999999999994</v>
      </c>
      <c r="K80" s="48">
        <f t="shared" si="5"/>
        <v>9.9133029179996002E-2</v>
      </c>
    </row>
    <row r="81" spans="1:11" x14ac:dyDescent="0.35">
      <c r="A81" s="6">
        <v>2013</v>
      </c>
      <c r="B81" s="6" t="s">
        <v>63</v>
      </c>
      <c r="C81" s="6">
        <v>4</v>
      </c>
      <c r="D81" s="6">
        <v>12</v>
      </c>
      <c r="E81" s="6">
        <v>0</v>
      </c>
      <c r="F81" s="6">
        <v>247</v>
      </c>
      <c r="G81" s="6">
        <v>449</v>
      </c>
      <c r="H81" s="48">
        <f t="shared" si="3"/>
        <v>0.55011135857461024</v>
      </c>
      <c r="I81" s="48">
        <f t="shared" si="4"/>
        <v>0.19522753102006335</v>
      </c>
      <c r="J81" s="50">
        <v>0.25</v>
      </c>
      <c r="K81" s="48">
        <f t="shared" si="5"/>
        <v>5.477246897993665E-2</v>
      </c>
    </row>
    <row r="82" spans="1:11" x14ac:dyDescent="0.35">
      <c r="A82" s="6">
        <v>2013</v>
      </c>
      <c r="B82" s="6" t="s">
        <v>78</v>
      </c>
      <c r="C82" s="6">
        <v>11</v>
      </c>
      <c r="D82" s="6">
        <v>5</v>
      </c>
      <c r="E82" s="6">
        <v>0</v>
      </c>
      <c r="F82" s="6">
        <v>430</v>
      </c>
      <c r="G82" s="6">
        <v>305</v>
      </c>
      <c r="H82" s="48">
        <f t="shared" si="3"/>
        <v>1.4098360655737705</v>
      </c>
      <c r="I82" s="48">
        <f t="shared" si="4"/>
        <v>0.69296804013468316</v>
      </c>
      <c r="J82" s="50">
        <v>0.68799999999999994</v>
      </c>
      <c r="K82" s="48">
        <f t="shared" si="5"/>
        <v>4.9680401346832159E-3</v>
      </c>
    </row>
    <row r="83" spans="1:11" x14ac:dyDescent="0.35">
      <c r="A83" s="6">
        <v>2013</v>
      </c>
      <c r="B83" s="6" t="s">
        <v>59</v>
      </c>
      <c r="C83" s="6">
        <v>8</v>
      </c>
      <c r="D83" s="6">
        <v>8</v>
      </c>
      <c r="E83" s="6">
        <v>0</v>
      </c>
      <c r="F83" s="6">
        <v>317</v>
      </c>
      <c r="G83" s="6">
        <v>335</v>
      </c>
      <c r="H83" s="48">
        <f t="shared" si="3"/>
        <v>0.94626865671641791</v>
      </c>
      <c r="I83" s="48">
        <f t="shared" si="4"/>
        <v>0.46732360066611128</v>
      </c>
      <c r="J83" s="50">
        <v>0.5</v>
      </c>
      <c r="K83" s="48">
        <f t="shared" si="5"/>
        <v>3.2676399333888717E-2</v>
      </c>
    </row>
    <row r="84" spans="1:11" x14ac:dyDescent="0.35">
      <c r="A84" s="6">
        <v>2013</v>
      </c>
      <c r="B84" s="6" t="s">
        <v>80</v>
      </c>
      <c r="C84" s="6">
        <v>5</v>
      </c>
      <c r="D84" s="6">
        <v>10</v>
      </c>
      <c r="E84" s="6">
        <v>1</v>
      </c>
      <c r="F84" s="6">
        <v>391</v>
      </c>
      <c r="G84" s="6">
        <v>480</v>
      </c>
      <c r="H84" s="48">
        <f t="shared" si="3"/>
        <v>0.81458333333333333</v>
      </c>
      <c r="I84" s="48">
        <f t="shared" si="4"/>
        <v>0.38082779318315552</v>
      </c>
      <c r="J84" s="50">
        <v>0.34399999999999997</v>
      </c>
      <c r="K84" s="48">
        <f t="shared" si="5"/>
        <v>3.6827793183155544E-2</v>
      </c>
    </row>
    <row r="85" spans="1:11" x14ac:dyDescent="0.35">
      <c r="A85" s="6">
        <v>2013</v>
      </c>
      <c r="B85" s="6" t="s">
        <v>88</v>
      </c>
      <c r="C85" s="6">
        <v>12</v>
      </c>
      <c r="D85" s="6">
        <v>4</v>
      </c>
      <c r="E85" s="6">
        <v>0</v>
      </c>
      <c r="F85" s="6">
        <v>444</v>
      </c>
      <c r="G85" s="6">
        <v>338</v>
      </c>
      <c r="H85" s="48">
        <f t="shared" si="3"/>
        <v>1.3136094674556213</v>
      </c>
      <c r="I85" s="48">
        <f t="shared" si="4"/>
        <v>0.65621802829303022</v>
      </c>
      <c r="J85" s="50">
        <v>0.75</v>
      </c>
      <c r="K85" s="48">
        <f t="shared" si="5"/>
        <v>9.378197170696978E-2</v>
      </c>
    </row>
    <row r="86" spans="1:11" x14ac:dyDescent="0.35">
      <c r="A86" s="6">
        <v>2013</v>
      </c>
      <c r="B86" s="6" t="s">
        <v>73</v>
      </c>
      <c r="C86" s="6">
        <v>11</v>
      </c>
      <c r="D86" s="6">
        <v>5</v>
      </c>
      <c r="E86" s="6">
        <v>0</v>
      </c>
      <c r="F86" s="6">
        <v>414</v>
      </c>
      <c r="G86" s="6">
        <v>304</v>
      </c>
      <c r="H86" s="48">
        <f t="shared" si="3"/>
        <v>1.361842105263158</v>
      </c>
      <c r="I86" s="48">
        <f t="shared" si="4"/>
        <v>0.67523231827760166</v>
      </c>
      <c r="J86" s="50">
        <v>0.68799999999999994</v>
      </c>
      <c r="K86" s="48">
        <f t="shared" si="5"/>
        <v>1.2767681722398283E-2</v>
      </c>
    </row>
    <row r="87" spans="1:11" x14ac:dyDescent="0.35">
      <c r="A87" s="6">
        <v>2013</v>
      </c>
      <c r="B87" s="6" t="s">
        <v>68</v>
      </c>
      <c r="C87" s="6">
        <v>7</v>
      </c>
      <c r="D87" s="6">
        <v>9</v>
      </c>
      <c r="E87" s="6">
        <v>0</v>
      </c>
      <c r="F87" s="6">
        <v>294</v>
      </c>
      <c r="G87" s="6">
        <v>383</v>
      </c>
      <c r="H87" s="48">
        <f t="shared" si="3"/>
        <v>0.76762402088772841</v>
      </c>
      <c r="I87" s="48">
        <f t="shared" si="4"/>
        <v>0.3482458156451862</v>
      </c>
      <c r="J87" s="50">
        <v>0.438</v>
      </c>
      <c r="K87" s="48">
        <f t="shared" si="5"/>
        <v>8.9754184354813804E-2</v>
      </c>
    </row>
    <row r="88" spans="1:11" x14ac:dyDescent="0.35">
      <c r="A88" s="6">
        <v>2013</v>
      </c>
      <c r="B88" s="6" t="s">
        <v>57</v>
      </c>
      <c r="C88" s="6">
        <v>8</v>
      </c>
      <c r="D88" s="6">
        <v>8</v>
      </c>
      <c r="E88" s="6">
        <v>0</v>
      </c>
      <c r="F88" s="6">
        <v>290</v>
      </c>
      <c r="G88" s="6">
        <v>387</v>
      </c>
      <c r="H88" s="48">
        <f t="shared" si="3"/>
        <v>0.74935400516795869</v>
      </c>
      <c r="I88" s="48">
        <f t="shared" si="4"/>
        <v>0.33540284686395377</v>
      </c>
      <c r="J88" s="50">
        <v>0.5</v>
      </c>
      <c r="K88" s="48">
        <f t="shared" si="5"/>
        <v>0.16459715313604623</v>
      </c>
    </row>
    <row r="89" spans="1:11" x14ac:dyDescent="0.35">
      <c r="A89" s="6">
        <v>2013</v>
      </c>
      <c r="B89" s="6" t="s">
        <v>65</v>
      </c>
      <c r="C89" s="6">
        <v>4</v>
      </c>
      <c r="D89" s="6">
        <v>12</v>
      </c>
      <c r="E89" s="6">
        <v>0</v>
      </c>
      <c r="F89" s="6">
        <v>322</v>
      </c>
      <c r="G89" s="6">
        <v>453</v>
      </c>
      <c r="H89" s="48">
        <f t="shared" si="3"/>
        <v>0.71081677704194257</v>
      </c>
      <c r="I89" s="48">
        <f t="shared" si="4"/>
        <v>0.30810849643888816</v>
      </c>
      <c r="J89" s="50">
        <v>0.25</v>
      </c>
      <c r="K89" s="48">
        <f t="shared" si="5"/>
        <v>5.8108496438888158E-2</v>
      </c>
    </row>
    <row r="90" spans="1:11" x14ac:dyDescent="0.35">
      <c r="A90" s="6">
        <v>2013</v>
      </c>
      <c r="B90" s="6" t="s">
        <v>67</v>
      </c>
      <c r="C90" s="6">
        <v>10</v>
      </c>
      <c r="D90" s="6">
        <v>6</v>
      </c>
      <c r="E90" s="6">
        <v>0</v>
      </c>
      <c r="F90" s="6">
        <v>442</v>
      </c>
      <c r="G90" s="6">
        <v>382</v>
      </c>
      <c r="H90" s="48">
        <f t="shared" si="3"/>
        <v>1.1570680628272252</v>
      </c>
      <c r="I90" s="48">
        <f t="shared" si="4"/>
        <v>0.58558842602692951</v>
      </c>
      <c r="J90" s="50">
        <v>0.625</v>
      </c>
      <c r="K90" s="48">
        <f t="shared" si="5"/>
        <v>3.9411573973070491E-2</v>
      </c>
    </row>
    <row r="91" spans="1:11" x14ac:dyDescent="0.35">
      <c r="A91" s="6">
        <v>2013</v>
      </c>
      <c r="B91" s="6" t="s">
        <v>82</v>
      </c>
      <c r="C91" s="6">
        <v>8</v>
      </c>
      <c r="D91" s="6">
        <v>8</v>
      </c>
      <c r="E91" s="6">
        <v>0</v>
      </c>
      <c r="F91" s="6">
        <v>379</v>
      </c>
      <c r="G91" s="6">
        <v>370</v>
      </c>
      <c r="H91" s="48">
        <f t="shared" si="3"/>
        <v>1.0243243243243243</v>
      </c>
      <c r="I91" s="48">
        <f t="shared" si="4"/>
        <v>0.51423582211565888</v>
      </c>
      <c r="J91" s="50">
        <v>0.5</v>
      </c>
      <c r="K91" s="48">
        <f t="shared" si="5"/>
        <v>1.423582211565888E-2</v>
      </c>
    </row>
    <row r="92" spans="1:11" x14ac:dyDescent="0.35">
      <c r="A92" s="6">
        <v>2013</v>
      </c>
      <c r="B92" s="6" t="s">
        <v>66</v>
      </c>
      <c r="C92" s="6">
        <v>9</v>
      </c>
      <c r="D92" s="6">
        <v>7</v>
      </c>
      <c r="E92" s="6">
        <v>0</v>
      </c>
      <c r="F92" s="6">
        <v>396</v>
      </c>
      <c r="G92" s="6">
        <v>348</v>
      </c>
      <c r="H92" s="48">
        <f t="shared" si="3"/>
        <v>1.1379310344827587</v>
      </c>
      <c r="I92" s="48">
        <f t="shared" si="4"/>
        <v>0.57596522167271136</v>
      </c>
      <c r="J92" s="50">
        <v>0.56299999999999994</v>
      </c>
      <c r="K92" s="48">
        <f t="shared" si="5"/>
        <v>1.2965221672711413E-2</v>
      </c>
    </row>
    <row r="93" spans="1:11" x14ac:dyDescent="0.35">
      <c r="A93" s="6">
        <v>2013</v>
      </c>
      <c r="B93" s="6" t="s">
        <v>76</v>
      </c>
      <c r="C93" s="6">
        <v>12</v>
      </c>
      <c r="D93" s="6">
        <v>4</v>
      </c>
      <c r="E93" s="6">
        <v>0</v>
      </c>
      <c r="F93" s="6">
        <v>406</v>
      </c>
      <c r="G93" s="6">
        <v>272</v>
      </c>
      <c r="H93" s="48">
        <f t="shared" si="3"/>
        <v>1.4926470588235294</v>
      </c>
      <c r="I93" s="48">
        <f t="shared" si="4"/>
        <v>0.72097560593512777</v>
      </c>
      <c r="J93" s="50">
        <v>0.75</v>
      </c>
      <c r="K93" s="48">
        <f t="shared" si="5"/>
        <v>2.9024394064872228E-2</v>
      </c>
    </row>
    <row r="94" spans="1:11" x14ac:dyDescent="0.35">
      <c r="A94" s="6">
        <v>2013</v>
      </c>
      <c r="B94" s="6" t="s">
        <v>85</v>
      </c>
      <c r="C94" s="6">
        <v>13</v>
      </c>
      <c r="D94" s="6">
        <v>3</v>
      </c>
      <c r="E94" s="6">
        <v>0</v>
      </c>
      <c r="F94" s="6">
        <v>417</v>
      </c>
      <c r="G94" s="6">
        <v>231</v>
      </c>
      <c r="H94" s="48">
        <f t="shared" si="3"/>
        <v>1.8051948051948052</v>
      </c>
      <c r="I94" s="48">
        <f t="shared" si="4"/>
        <v>0.80216553945673963</v>
      </c>
      <c r="J94" s="50">
        <v>0.81299999999999994</v>
      </c>
      <c r="K94" s="48">
        <f t="shared" si="5"/>
        <v>1.0834460543260316E-2</v>
      </c>
    </row>
    <row r="95" spans="1:11" x14ac:dyDescent="0.35">
      <c r="A95" s="6">
        <v>2013</v>
      </c>
      <c r="B95" s="6" t="s">
        <v>75</v>
      </c>
      <c r="C95" s="6">
        <v>7</v>
      </c>
      <c r="D95" s="6">
        <v>9</v>
      </c>
      <c r="E95" s="6">
        <v>0</v>
      </c>
      <c r="F95" s="6">
        <v>348</v>
      </c>
      <c r="G95" s="6">
        <v>364</v>
      </c>
      <c r="H95" s="48">
        <f t="shared" si="3"/>
        <v>0.95604395604395609</v>
      </c>
      <c r="I95" s="48">
        <f t="shared" si="4"/>
        <v>0.47339146442128793</v>
      </c>
      <c r="J95" s="50">
        <v>0.438</v>
      </c>
      <c r="K95" s="48">
        <f t="shared" si="5"/>
        <v>3.5391464421287933E-2</v>
      </c>
    </row>
    <row r="96" spans="1:11" x14ac:dyDescent="0.35">
      <c r="A96" s="6">
        <v>2013</v>
      </c>
      <c r="B96" s="6" t="s">
        <v>74</v>
      </c>
      <c r="C96" s="6">
        <v>4</v>
      </c>
      <c r="D96" s="6">
        <v>12</v>
      </c>
      <c r="E96" s="6">
        <v>0</v>
      </c>
      <c r="F96" s="6">
        <v>288</v>
      </c>
      <c r="G96" s="6">
        <v>389</v>
      </c>
      <c r="H96" s="48">
        <f t="shared" si="3"/>
        <v>0.74035989717223649</v>
      </c>
      <c r="I96" s="48">
        <f t="shared" si="4"/>
        <v>0.32905401751738111</v>
      </c>
      <c r="J96" s="50">
        <v>0.25</v>
      </c>
      <c r="K96" s="48">
        <f t="shared" si="5"/>
        <v>7.9054017517381114E-2</v>
      </c>
    </row>
    <row r="97" spans="1:11" x14ac:dyDescent="0.35">
      <c r="A97" s="6">
        <v>2013</v>
      </c>
      <c r="B97" s="6" t="s">
        <v>64</v>
      </c>
      <c r="C97" s="6">
        <v>7</v>
      </c>
      <c r="D97" s="6">
        <v>9</v>
      </c>
      <c r="E97" s="6">
        <v>0</v>
      </c>
      <c r="F97" s="6">
        <v>362</v>
      </c>
      <c r="G97" s="6">
        <v>381</v>
      </c>
      <c r="H97" s="48">
        <f t="shared" si="3"/>
        <v>0.95013123359580054</v>
      </c>
      <c r="I97" s="48">
        <f t="shared" si="4"/>
        <v>0.46972763674877899</v>
      </c>
      <c r="J97" s="50">
        <v>0.438</v>
      </c>
      <c r="K97" s="48">
        <f t="shared" si="5"/>
        <v>3.1727636748778987E-2</v>
      </c>
    </row>
    <row r="98" spans="1:11" x14ac:dyDescent="0.35">
      <c r="A98" s="6">
        <v>2013</v>
      </c>
      <c r="B98" s="6" t="s">
        <v>79</v>
      </c>
      <c r="C98" s="6">
        <v>3</v>
      </c>
      <c r="D98" s="6">
        <v>13</v>
      </c>
      <c r="E98" s="6">
        <v>0</v>
      </c>
      <c r="F98" s="6">
        <v>334</v>
      </c>
      <c r="G98" s="6">
        <v>478</v>
      </c>
      <c r="H98" s="48">
        <f t="shared" si="3"/>
        <v>0.69874476987447698</v>
      </c>
      <c r="I98" s="48">
        <f t="shared" si="4"/>
        <v>0.29952237888883626</v>
      </c>
      <c r="J98" s="50">
        <v>0.188</v>
      </c>
      <c r="K98" s="48">
        <f t="shared" si="5"/>
        <v>0.11152237888883626</v>
      </c>
    </row>
    <row r="99" spans="1:11" x14ac:dyDescent="0.35">
      <c r="A99" s="6">
        <v>2012</v>
      </c>
      <c r="B99" s="6" t="s">
        <v>83</v>
      </c>
      <c r="C99" s="6">
        <v>5</v>
      </c>
      <c r="D99" s="6">
        <v>11</v>
      </c>
      <c r="E99" s="6">
        <v>0</v>
      </c>
      <c r="F99" s="6">
        <v>250</v>
      </c>
      <c r="G99" s="6">
        <v>357</v>
      </c>
      <c r="H99" s="48">
        <f t="shared" si="3"/>
        <v>0.70028011204481788</v>
      </c>
      <c r="I99" s="48">
        <f t="shared" si="4"/>
        <v>0.3006149103695725</v>
      </c>
      <c r="J99" s="50">
        <v>0.313</v>
      </c>
      <c r="K99" s="48">
        <f t="shared" si="5"/>
        <v>1.2385089630427504E-2</v>
      </c>
    </row>
    <row r="100" spans="1:11" x14ac:dyDescent="0.35">
      <c r="A100" s="6">
        <v>2012</v>
      </c>
      <c r="B100" s="6" t="s">
        <v>72</v>
      </c>
      <c r="C100" s="6">
        <v>13</v>
      </c>
      <c r="D100" s="6">
        <v>3</v>
      </c>
      <c r="E100" s="6">
        <v>0</v>
      </c>
      <c r="F100" s="6">
        <v>419</v>
      </c>
      <c r="G100" s="6">
        <v>299</v>
      </c>
      <c r="H100" s="48">
        <f t="shared" si="3"/>
        <v>1.4013377926421404</v>
      </c>
      <c r="I100" s="48">
        <f t="shared" si="4"/>
        <v>0.68991090598973492</v>
      </c>
      <c r="J100" s="50">
        <v>0.81299999999999994</v>
      </c>
      <c r="K100" s="48">
        <f t="shared" si="5"/>
        <v>0.12308909401026502</v>
      </c>
    </row>
    <row r="101" spans="1:11" x14ac:dyDescent="0.35">
      <c r="A101" s="6">
        <v>2012</v>
      </c>
      <c r="B101" s="6" t="s">
        <v>60</v>
      </c>
      <c r="C101" s="6">
        <v>10</v>
      </c>
      <c r="D101" s="6">
        <v>6</v>
      </c>
      <c r="E101" s="6">
        <v>0</v>
      </c>
      <c r="F101" s="6">
        <v>398</v>
      </c>
      <c r="G101" s="6">
        <v>344</v>
      </c>
      <c r="H101" s="48">
        <f t="shared" si="3"/>
        <v>1.1569767441860466</v>
      </c>
      <c r="I101" s="48">
        <f t="shared" si="4"/>
        <v>0.58554303214425951</v>
      </c>
      <c r="J101" s="50">
        <v>0.625</v>
      </c>
      <c r="K101" s="48">
        <f t="shared" si="5"/>
        <v>3.9456967855740488E-2</v>
      </c>
    </row>
    <row r="102" spans="1:11" x14ac:dyDescent="0.35">
      <c r="A102" s="6">
        <v>2012</v>
      </c>
      <c r="B102" s="6" t="s">
        <v>58</v>
      </c>
      <c r="C102" s="6">
        <v>6</v>
      </c>
      <c r="D102" s="6">
        <v>10</v>
      </c>
      <c r="E102" s="6">
        <v>0</v>
      </c>
      <c r="F102" s="6">
        <v>344</v>
      </c>
      <c r="G102" s="6">
        <v>435</v>
      </c>
      <c r="H102" s="48">
        <f t="shared" si="3"/>
        <v>0.79080459770114941</v>
      </c>
      <c r="I102" s="48">
        <f t="shared" si="4"/>
        <v>0.36441572747027573</v>
      </c>
      <c r="J102" s="50">
        <v>0.375</v>
      </c>
      <c r="K102" s="48">
        <f t="shared" si="5"/>
        <v>1.058427252972427E-2</v>
      </c>
    </row>
    <row r="103" spans="1:11" x14ac:dyDescent="0.35">
      <c r="A103" s="6">
        <v>2012</v>
      </c>
      <c r="B103" s="6" t="s">
        <v>84</v>
      </c>
      <c r="C103" s="6">
        <v>7</v>
      </c>
      <c r="D103" s="6">
        <v>9</v>
      </c>
      <c r="E103" s="6">
        <v>0</v>
      </c>
      <c r="F103" s="6">
        <v>357</v>
      </c>
      <c r="G103" s="6">
        <v>363</v>
      </c>
      <c r="H103" s="48">
        <f t="shared" si="3"/>
        <v>0.98347107438016534</v>
      </c>
      <c r="I103" s="48">
        <f t="shared" si="4"/>
        <v>0.49012605524708991</v>
      </c>
      <c r="J103" s="50">
        <v>0.438</v>
      </c>
      <c r="K103" s="48">
        <f t="shared" si="5"/>
        <v>5.2126055247089909E-2</v>
      </c>
    </row>
    <row r="104" spans="1:11" x14ac:dyDescent="0.35">
      <c r="A104" s="6">
        <v>2012</v>
      </c>
      <c r="B104" s="6" t="s">
        <v>71</v>
      </c>
      <c r="C104" s="6">
        <v>10</v>
      </c>
      <c r="D104" s="6">
        <v>6</v>
      </c>
      <c r="E104" s="6">
        <v>0</v>
      </c>
      <c r="F104" s="6">
        <v>375</v>
      </c>
      <c r="G104" s="6">
        <v>277</v>
      </c>
      <c r="H104" s="48">
        <f t="shared" si="3"/>
        <v>1.3537906137184115</v>
      </c>
      <c r="I104" s="48">
        <f t="shared" si="4"/>
        <v>0.67214291495852851</v>
      </c>
      <c r="J104" s="50">
        <v>0.625</v>
      </c>
      <c r="K104" s="48">
        <f t="shared" si="5"/>
        <v>4.7142914958528515E-2</v>
      </c>
    </row>
    <row r="105" spans="1:11" x14ac:dyDescent="0.35">
      <c r="A105" s="6">
        <v>2012</v>
      </c>
      <c r="B105" s="6" t="s">
        <v>86</v>
      </c>
      <c r="C105" s="6">
        <v>10</v>
      </c>
      <c r="D105" s="6">
        <v>6</v>
      </c>
      <c r="E105" s="6">
        <v>0</v>
      </c>
      <c r="F105" s="6">
        <v>391</v>
      </c>
      <c r="G105" s="6">
        <v>320</v>
      </c>
      <c r="H105" s="48">
        <f t="shared" si="3"/>
        <v>1.221875</v>
      </c>
      <c r="I105" s="48">
        <f t="shared" si="4"/>
        <v>0.61654668284702696</v>
      </c>
      <c r="J105" s="50">
        <v>0.625</v>
      </c>
      <c r="K105" s="48">
        <f t="shared" si="5"/>
        <v>8.4533171529730389E-3</v>
      </c>
    </row>
    <row r="106" spans="1:11" x14ac:dyDescent="0.35">
      <c r="A106" s="6">
        <v>2012</v>
      </c>
      <c r="B106" s="6" t="s">
        <v>61</v>
      </c>
      <c r="C106" s="6">
        <v>5</v>
      </c>
      <c r="D106" s="6">
        <v>11</v>
      </c>
      <c r="E106" s="6">
        <v>0</v>
      </c>
      <c r="F106" s="6">
        <v>302</v>
      </c>
      <c r="G106" s="6">
        <v>368</v>
      </c>
      <c r="H106" s="48">
        <f t="shared" si="3"/>
        <v>0.82065217391304346</v>
      </c>
      <c r="I106" s="48">
        <f t="shared" si="4"/>
        <v>0.38498446797002234</v>
      </c>
      <c r="J106" s="50">
        <v>0.313</v>
      </c>
      <c r="K106" s="48">
        <f t="shared" si="5"/>
        <v>7.1984467970022337E-2</v>
      </c>
    </row>
    <row r="107" spans="1:11" x14ac:dyDescent="0.35">
      <c r="A107" s="6">
        <v>2012</v>
      </c>
      <c r="B107" s="6" t="s">
        <v>69</v>
      </c>
      <c r="C107" s="6">
        <v>8</v>
      </c>
      <c r="D107" s="6">
        <v>8</v>
      </c>
      <c r="E107" s="6">
        <v>0</v>
      </c>
      <c r="F107" s="6">
        <v>376</v>
      </c>
      <c r="G107" s="6">
        <v>400</v>
      </c>
      <c r="H107" s="48">
        <f t="shared" si="3"/>
        <v>0.94</v>
      </c>
      <c r="I107" s="48">
        <f t="shared" si="4"/>
        <v>0.46340438119621968</v>
      </c>
      <c r="J107" s="50">
        <v>0.5</v>
      </c>
      <c r="K107" s="48">
        <f t="shared" si="5"/>
        <v>3.6595618803780317E-2</v>
      </c>
    </row>
    <row r="108" spans="1:11" x14ac:dyDescent="0.35">
      <c r="A108" s="6">
        <v>2012</v>
      </c>
      <c r="B108" s="6" t="s">
        <v>87</v>
      </c>
      <c r="C108" s="6">
        <v>13</v>
      </c>
      <c r="D108" s="6">
        <v>3</v>
      </c>
      <c r="E108" s="6">
        <v>0</v>
      </c>
      <c r="F108" s="6">
        <v>481</v>
      </c>
      <c r="G108" s="6">
        <v>289</v>
      </c>
      <c r="H108" s="48">
        <f t="shared" si="3"/>
        <v>1.6643598615916955</v>
      </c>
      <c r="I108" s="48">
        <f t="shared" si="4"/>
        <v>0.76983401060637535</v>
      </c>
      <c r="J108" s="50">
        <v>0.81299999999999994</v>
      </c>
      <c r="K108" s="48">
        <f t="shared" si="5"/>
        <v>4.3165989393624593E-2</v>
      </c>
    </row>
    <row r="109" spans="1:11" x14ac:dyDescent="0.35">
      <c r="A109" s="6">
        <v>2012</v>
      </c>
      <c r="B109" s="6" t="s">
        <v>70</v>
      </c>
      <c r="C109" s="6">
        <v>4</v>
      </c>
      <c r="D109" s="6">
        <v>12</v>
      </c>
      <c r="E109" s="6">
        <v>0</v>
      </c>
      <c r="F109" s="6">
        <v>372</v>
      </c>
      <c r="G109" s="6">
        <v>437</v>
      </c>
      <c r="H109" s="48">
        <f t="shared" si="3"/>
        <v>0.85125858123569798</v>
      </c>
      <c r="I109" s="48">
        <f t="shared" si="4"/>
        <v>0.40572580706078076</v>
      </c>
      <c r="J109" s="50">
        <v>0.25</v>
      </c>
      <c r="K109" s="48">
        <f t="shared" si="5"/>
        <v>0.15572580706078076</v>
      </c>
    </row>
    <row r="110" spans="1:11" x14ac:dyDescent="0.35">
      <c r="A110" s="6">
        <v>2012</v>
      </c>
      <c r="B110" s="6" t="s">
        <v>89</v>
      </c>
      <c r="C110" s="6">
        <v>11</v>
      </c>
      <c r="D110" s="6">
        <v>5</v>
      </c>
      <c r="E110" s="6">
        <v>0</v>
      </c>
      <c r="F110" s="6">
        <v>433</v>
      </c>
      <c r="G110" s="6">
        <v>336</v>
      </c>
      <c r="H110" s="48">
        <f t="shared" si="3"/>
        <v>1.2886904761904763</v>
      </c>
      <c r="I110" s="48">
        <f t="shared" si="4"/>
        <v>0.64590677727600088</v>
      </c>
      <c r="J110" s="50">
        <v>0.68799999999999994</v>
      </c>
      <c r="K110" s="48">
        <f t="shared" si="5"/>
        <v>4.2093222723999069E-2</v>
      </c>
    </row>
    <row r="111" spans="1:11" x14ac:dyDescent="0.35">
      <c r="A111" s="6">
        <v>2012</v>
      </c>
      <c r="B111" s="6" t="s">
        <v>77</v>
      </c>
      <c r="C111" s="6">
        <v>12</v>
      </c>
      <c r="D111" s="6">
        <v>4</v>
      </c>
      <c r="E111" s="6">
        <v>0</v>
      </c>
      <c r="F111" s="6">
        <v>416</v>
      </c>
      <c r="G111" s="6">
        <v>331</v>
      </c>
      <c r="H111" s="48">
        <f t="shared" si="3"/>
        <v>1.256797583081571</v>
      </c>
      <c r="I111" s="48">
        <f t="shared" si="4"/>
        <v>0.6322086101891442</v>
      </c>
      <c r="J111" s="50">
        <v>0.75</v>
      </c>
      <c r="K111" s="48">
        <f t="shared" si="5"/>
        <v>0.1177913898108558</v>
      </c>
    </row>
    <row r="112" spans="1:11" x14ac:dyDescent="0.35">
      <c r="A112" s="6">
        <v>2012</v>
      </c>
      <c r="B112" s="6" t="s">
        <v>62</v>
      </c>
      <c r="C112" s="6">
        <v>11</v>
      </c>
      <c r="D112" s="6">
        <v>5</v>
      </c>
      <c r="E112" s="6">
        <v>0</v>
      </c>
      <c r="F112" s="6">
        <v>357</v>
      </c>
      <c r="G112" s="6">
        <v>387</v>
      </c>
      <c r="H112" s="48">
        <f t="shared" si="3"/>
        <v>0.92248062015503873</v>
      </c>
      <c r="I112" s="48">
        <f t="shared" si="4"/>
        <v>0.45233698448318904</v>
      </c>
      <c r="J112" s="50">
        <v>0.68799999999999994</v>
      </c>
      <c r="K112" s="48">
        <f t="shared" si="5"/>
        <v>0.2356630155168109</v>
      </c>
    </row>
    <row r="113" spans="1:11" x14ac:dyDescent="0.35">
      <c r="A113" s="6">
        <v>2012</v>
      </c>
      <c r="B113" s="6" t="s">
        <v>63</v>
      </c>
      <c r="C113" s="6">
        <v>2</v>
      </c>
      <c r="D113" s="6">
        <v>14</v>
      </c>
      <c r="E113" s="6">
        <v>0</v>
      </c>
      <c r="F113" s="6">
        <v>255</v>
      </c>
      <c r="G113" s="6">
        <v>444</v>
      </c>
      <c r="H113" s="48">
        <f t="shared" si="3"/>
        <v>0.57432432432432434</v>
      </c>
      <c r="I113" s="48">
        <f t="shared" si="4"/>
        <v>0.21176658383590488</v>
      </c>
      <c r="J113" s="50">
        <v>0.125</v>
      </c>
      <c r="K113" s="48">
        <f t="shared" si="5"/>
        <v>8.6766583835904881E-2</v>
      </c>
    </row>
    <row r="114" spans="1:11" x14ac:dyDescent="0.35">
      <c r="A114" s="6">
        <v>2012</v>
      </c>
      <c r="B114" s="6" t="s">
        <v>78</v>
      </c>
      <c r="C114" s="6">
        <v>2</v>
      </c>
      <c r="D114" s="6">
        <v>14</v>
      </c>
      <c r="E114" s="6">
        <v>0</v>
      </c>
      <c r="F114" s="6">
        <v>211</v>
      </c>
      <c r="G114" s="6">
        <v>425</v>
      </c>
      <c r="H114" s="48">
        <f t="shared" si="3"/>
        <v>0.49647058823529411</v>
      </c>
      <c r="I114" s="48">
        <f t="shared" si="4"/>
        <v>0.15982274178393208</v>
      </c>
      <c r="J114" s="50">
        <v>0.125</v>
      </c>
      <c r="K114" s="48">
        <f t="shared" si="5"/>
        <v>3.4822741783932076E-2</v>
      </c>
    </row>
    <row r="115" spans="1:11" x14ac:dyDescent="0.35">
      <c r="A115" s="6">
        <v>2012</v>
      </c>
      <c r="B115" s="6" t="s">
        <v>59</v>
      </c>
      <c r="C115" s="6">
        <v>7</v>
      </c>
      <c r="D115" s="6">
        <v>9</v>
      </c>
      <c r="E115" s="6">
        <v>0</v>
      </c>
      <c r="F115" s="6">
        <v>288</v>
      </c>
      <c r="G115" s="6">
        <v>317</v>
      </c>
      <c r="H115" s="48">
        <f t="shared" si="3"/>
        <v>0.90851735015772872</v>
      </c>
      <c r="I115" s="48">
        <f t="shared" si="4"/>
        <v>0.4433984416643133</v>
      </c>
      <c r="J115" s="50">
        <v>0.438</v>
      </c>
      <c r="K115" s="48">
        <f t="shared" si="5"/>
        <v>5.3984416643133026E-3</v>
      </c>
    </row>
    <row r="116" spans="1:11" x14ac:dyDescent="0.35">
      <c r="A116" s="6">
        <v>2012</v>
      </c>
      <c r="B116" s="6" t="s">
        <v>80</v>
      </c>
      <c r="C116" s="6">
        <v>10</v>
      </c>
      <c r="D116" s="6">
        <v>6</v>
      </c>
      <c r="E116" s="6">
        <v>0</v>
      </c>
      <c r="F116" s="6">
        <v>379</v>
      </c>
      <c r="G116" s="6">
        <v>348</v>
      </c>
      <c r="H116" s="48">
        <f t="shared" si="3"/>
        <v>1.0890804597701149</v>
      </c>
      <c r="I116" s="48">
        <f t="shared" si="4"/>
        <v>0.5503886022059733</v>
      </c>
      <c r="J116" s="50">
        <v>0.625</v>
      </c>
      <c r="K116" s="48">
        <f t="shared" si="5"/>
        <v>7.4611397794026701E-2</v>
      </c>
    </row>
    <row r="117" spans="1:11" x14ac:dyDescent="0.35">
      <c r="A117" s="6">
        <v>2012</v>
      </c>
      <c r="B117" s="6" t="s">
        <v>88</v>
      </c>
      <c r="C117" s="6">
        <v>12</v>
      </c>
      <c r="D117" s="6">
        <v>4</v>
      </c>
      <c r="E117" s="6">
        <v>0</v>
      </c>
      <c r="F117" s="6">
        <v>557</v>
      </c>
      <c r="G117" s="6">
        <v>331</v>
      </c>
      <c r="H117" s="48">
        <f t="shared" si="3"/>
        <v>1.6827794561933536</v>
      </c>
      <c r="I117" s="48">
        <f t="shared" si="4"/>
        <v>0.77442341875771203</v>
      </c>
      <c r="J117" s="50">
        <v>0.75</v>
      </c>
      <c r="K117" s="48">
        <f t="shared" si="5"/>
        <v>2.4423418757712034E-2</v>
      </c>
    </row>
    <row r="118" spans="1:11" x14ac:dyDescent="0.35">
      <c r="A118" s="6">
        <v>2012</v>
      </c>
      <c r="B118" s="6" t="s">
        <v>73</v>
      </c>
      <c r="C118" s="6">
        <v>7</v>
      </c>
      <c r="D118" s="6">
        <v>9</v>
      </c>
      <c r="E118" s="6">
        <v>0</v>
      </c>
      <c r="F118" s="6">
        <v>461</v>
      </c>
      <c r="G118" s="6">
        <v>454</v>
      </c>
      <c r="H118" s="48">
        <f t="shared" si="3"/>
        <v>1.0154185022026432</v>
      </c>
      <c r="I118" s="48">
        <f t="shared" si="4"/>
        <v>0.50906475730742029</v>
      </c>
      <c r="J118" s="50">
        <v>0.438</v>
      </c>
      <c r="K118" s="48">
        <f t="shared" si="5"/>
        <v>7.106475730742029E-2</v>
      </c>
    </row>
    <row r="119" spans="1:11" x14ac:dyDescent="0.35">
      <c r="A119" s="6">
        <v>2012</v>
      </c>
      <c r="B119" s="6" t="s">
        <v>68</v>
      </c>
      <c r="C119" s="6">
        <v>9</v>
      </c>
      <c r="D119" s="6">
        <v>7</v>
      </c>
      <c r="E119" s="6">
        <v>0</v>
      </c>
      <c r="F119" s="6">
        <v>429</v>
      </c>
      <c r="G119" s="6">
        <v>344</v>
      </c>
      <c r="H119" s="48">
        <f t="shared" si="3"/>
        <v>1.2470930232558139</v>
      </c>
      <c r="I119" s="48">
        <f t="shared" si="4"/>
        <v>0.62792660837947611</v>
      </c>
      <c r="J119" s="50">
        <v>0.56299999999999994</v>
      </c>
      <c r="K119" s="48">
        <f t="shared" si="5"/>
        <v>6.4926608379476169E-2</v>
      </c>
    </row>
    <row r="120" spans="1:11" x14ac:dyDescent="0.35">
      <c r="A120" s="6">
        <v>2012</v>
      </c>
      <c r="B120" s="6" t="s">
        <v>57</v>
      </c>
      <c r="C120" s="6">
        <v>6</v>
      </c>
      <c r="D120" s="6">
        <v>10</v>
      </c>
      <c r="E120" s="6">
        <v>0</v>
      </c>
      <c r="F120" s="6">
        <v>281</v>
      </c>
      <c r="G120" s="6">
        <v>375</v>
      </c>
      <c r="H120" s="48">
        <f t="shared" si="3"/>
        <v>0.7493333333333333</v>
      </c>
      <c r="I120" s="48">
        <f t="shared" si="4"/>
        <v>0.33538827326303045</v>
      </c>
      <c r="J120" s="50">
        <v>0.375</v>
      </c>
      <c r="K120" s="48">
        <f t="shared" si="5"/>
        <v>3.9611726736969555E-2</v>
      </c>
    </row>
    <row r="121" spans="1:11" x14ac:dyDescent="0.35">
      <c r="A121" s="6">
        <v>2012</v>
      </c>
      <c r="B121" s="6" t="s">
        <v>65</v>
      </c>
      <c r="C121" s="6">
        <v>4</v>
      </c>
      <c r="D121" s="6">
        <v>12</v>
      </c>
      <c r="E121" s="6">
        <v>0</v>
      </c>
      <c r="F121" s="6">
        <v>290</v>
      </c>
      <c r="G121" s="6">
        <v>443</v>
      </c>
      <c r="H121" s="48">
        <f t="shared" si="3"/>
        <v>0.65462753950338604</v>
      </c>
      <c r="I121" s="48">
        <f t="shared" si="4"/>
        <v>0.26812772317259914</v>
      </c>
      <c r="J121" s="50">
        <v>0.25</v>
      </c>
      <c r="K121" s="48">
        <f t="shared" si="5"/>
        <v>1.8127723172599142E-2</v>
      </c>
    </row>
    <row r="122" spans="1:11" x14ac:dyDescent="0.35">
      <c r="A122" s="6">
        <v>2012</v>
      </c>
      <c r="B122" s="6" t="s">
        <v>67</v>
      </c>
      <c r="C122" s="6">
        <v>4</v>
      </c>
      <c r="D122" s="6">
        <v>12</v>
      </c>
      <c r="E122" s="6">
        <v>0</v>
      </c>
      <c r="F122" s="6">
        <v>280</v>
      </c>
      <c r="G122" s="6">
        <v>444</v>
      </c>
      <c r="H122" s="48">
        <f t="shared" si="3"/>
        <v>0.63063063063063063</v>
      </c>
      <c r="I122" s="48">
        <f t="shared" si="4"/>
        <v>0.25111905802931156</v>
      </c>
      <c r="J122" s="50">
        <v>0.25</v>
      </c>
      <c r="K122" s="48">
        <f t="shared" si="5"/>
        <v>1.1190580293115593E-3</v>
      </c>
    </row>
    <row r="123" spans="1:11" x14ac:dyDescent="0.35">
      <c r="A123" s="6">
        <v>2012</v>
      </c>
      <c r="B123" s="6" t="s">
        <v>82</v>
      </c>
      <c r="C123" s="6">
        <v>8</v>
      </c>
      <c r="D123" s="6">
        <v>8</v>
      </c>
      <c r="E123" s="6">
        <v>0</v>
      </c>
      <c r="F123" s="6">
        <v>336</v>
      </c>
      <c r="G123" s="6">
        <v>314</v>
      </c>
      <c r="H123" s="48">
        <f t="shared" si="3"/>
        <v>1.0700636942675159</v>
      </c>
      <c r="I123" s="48">
        <f t="shared" si="4"/>
        <v>0.54003711631095808</v>
      </c>
      <c r="J123" s="50">
        <v>0.5</v>
      </c>
      <c r="K123" s="48">
        <f t="shared" si="5"/>
        <v>4.0037116310958076E-2</v>
      </c>
    </row>
    <row r="124" spans="1:11" x14ac:dyDescent="0.35">
      <c r="A124" s="6">
        <v>2012</v>
      </c>
      <c r="B124" s="6" t="s">
        <v>66</v>
      </c>
      <c r="C124" s="6">
        <v>7</v>
      </c>
      <c r="D124" s="6">
        <v>9</v>
      </c>
      <c r="E124" s="6">
        <v>0</v>
      </c>
      <c r="F124" s="6">
        <v>350</v>
      </c>
      <c r="G124" s="6">
        <v>350</v>
      </c>
      <c r="H124" s="48">
        <f t="shared" si="3"/>
        <v>1</v>
      </c>
      <c r="I124" s="48">
        <f t="shared" si="4"/>
        <v>0.5</v>
      </c>
      <c r="J124" s="50">
        <v>0.438</v>
      </c>
      <c r="K124" s="48">
        <f t="shared" si="5"/>
        <v>6.2E-2</v>
      </c>
    </row>
    <row r="125" spans="1:11" x14ac:dyDescent="0.35">
      <c r="A125" s="6">
        <v>2012</v>
      </c>
      <c r="B125" s="6" t="s">
        <v>76</v>
      </c>
      <c r="C125" s="6">
        <v>11</v>
      </c>
      <c r="D125" s="6">
        <v>4</v>
      </c>
      <c r="E125" s="6">
        <v>1</v>
      </c>
      <c r="F125" s="6">
        <v>397</v>
      </c>
      <c r="G125" s="6">
        <v>273</v>
      </c>
      <c r="H125" s="48">
        <f t="shared" si="3"/>
        <v>1.4542124542124542</v>
      </c>
      <c r="I125" s="48">
        <f t="shared" si="4"/>
        <v>0.70837003100481488</v>
      </c>
      <c r="J125" s="50">
        <v>0.71899999999999997</v>
      </c>
      <c r="K125" s="48">
        <f t="shared" si="5"/>
        <v>1.0629968995185091E-2</v>
      </c>
    </row>
    <row r="126" spans="1:11" x14ac:dyDescent="0.35">
      <c r="A126" s="6">
        <v>2012</v>
      </c>
      <c r="B126" s="6" t="s">
        <v>85</v>
      </c>
      <c r="C126" s="6">
        <v>11</v>
      </c>
      <c r="D126" s="6">
        <v>5</v>
      </c>
      <c r="E126" s="6">
        <v>0</v>
      </c>
      <c r="F126" s="6">
        <v>412</v>
      </c>
      <c r="G126" s="6">
        <v>245</v>
      </c>
      <c r="H126" s="48">
        <f t="shared" si="3"/>
        <v>1.6816326530612244</v>
      </c>
      <c r="I126" s="48">
        <f t="shared" si="4"/>
        <v>0.7741410458431085</v>
      </c>
      <c r="J126" s="50">
        <v>0.68799999999999994</v>
      </c>
      <c r="K126" s="48">
        <f t="shared" si="5"/>
        <v>8.6141045843108555E-2</v>
      </c>
    </row>
    <row r="127" spans="1:11" x14ac:dyDescent="0.35">
      <c r="A127" s="6">
        <v>2012</v>
      </c>
      <c r="B127" s="6" t="s">
        <v>75</v>
      </c>
      <c r="C127" s="6">
        <v>7</v>
      </c>
      <c r="D127" s="6">
        <v>8</v>
      </c>
      <c r="E127" s="6">
        <v>1</v>
      </c>
      <c r="F127" s="6">
        <v>299</v>
      </c>
      <c r="G127" s="6">
        <v>348</v>
      </c>
      <c r="H127" s="48">
        <f t="shared" si="3"/>
        <v>0.85919540229885061</v>
      </c>
      <c r="I127" s="48">
        <f t="shared" si="4"/>
        <v>0.41103978893470677</v>
      </c>
      <c r="J127" s="50">
        <v>0.46899999999999997</v>
      </c>
      <c r="K127" s="48">
        <f t="shared" si="5"/>
        <v>5.7960211065293199E-2</v>
      </c>
    </row>
    <row r="128" spans="1:11" x14ac:dyDescent="0.35">
      <c r="A128" s="6">
        <v>2012</v>
      </c>
      <c r="B128" s="6" t="s">
        <v>74</v>
      </c>
      <c r="C128" s="6">
        <v>7</v>
      </c>
      <c r="D128" s="6">
        <v>9</v>
      </c>
      <c r="E128" s="6">
        <v>0</v>
      </c>
      <c r="F128" s="6">
        <v>389</v>
      </c>
      <c r="G128" s="6">
        <v>394</v>
      </c>
      <c r="H128" s="48">
        <f t="shared" si="3"/>
        <v>0.98730964467005078</v>
      </c>
      <c r="I128" s="48">
        <f t="shared" si="4"/>
        <v>0.49243342502701404</v>
      </c>
      <c r="J128" s="50">
        <v>0.438</v>
      </c>
      <c r="K128" s="48">
        <f t="shared" si="5"/>
        <v>5.4433425027014037E-2</v>
      </c>
    </row>
    <row r="129" spans="1:11" x14ac:dyDescent="0.35">
      <c r="A129" s="6">
        <v>2012</v>
      </c>
      <c r="B129" s="6" t="s">
        <v>64</v>
      </c>
      <c r="C129" s="6">
        <v>6</v>
      </c>
      <c r="D129" s="6">
        <v>10</v>
      </c>
      <c r="E129" s="6">
        <v>0</v>
      </c>
      <c r="F129" s="6">
        <v>330</v>
      </c>
      <c r="G129" s="6">
        <v>471</v>
      </c>
      <c r="H129" s="48">
        <f t="shared" si="3"/>
        <v>0.70063694267515919</v>
      </c>
      <c r="I129" s="48">
        <f t="shared" si="4"/>
        <v>0.30086880846779895</v>
      </c>
      <c r="J129" s="50">
        <v>0.375</v>
      </c>
      <c r="K129" s="48">
        <f t="shared" si="5"/>
        <v>7.4131191532201046E-2</v>
      </c>
    </row>
    <row r="130" spans="1:11" x14ac:dyDescent="0.35">
      <c r="A130" s="6">
        <v>2012</v>
      </c>
      <c r="B130" s="6" t="s">
        <v>79</v>
      </c>
      <c r="C130" s="6">
        <v>10</v>
      </c>
      <c r="D130" s="6">
        <v>6</v>
      </c>
      <c r="E130" s="6">
        <v>0</v>
      </c>
      <c r="F130" s="6">
        <v>436</v>
      </c>
      <c r="G130" s="6">
        <v>388</v>
      </c>
      <c r="H130" s="48">
        <f t="shared" si="3"/>
        <v>1.1237113402061856</v>
      </c>
      <c r="I130" s="48">
        <f t="shared" si="4"/>
        <v>0.56867064244558196</v>
      </c>
      <c r="J130" s="50">
        <v>0.625</v>
      </c>
      <c r="K130" s="48">
        <f t="shared" si="5"/>
        <v>5.6329357554418036E-2</v>
      </c>
    </row>
    <row r="131" spans="1:11" x14ac:dyDescent="0.35">
      <c r="A131" s="6">
        <v>2011</v>
      </c>
      <c r="B131" s="6" t="s">
        <v>83</v>
      </c>
      <c r="C131" s="6">
        <v>8</v>
      </c>
      <c r="D131" s="6">
        <v>8</v>
      </c>
      <c r="E131" s="6">
        <v>0</v>
      </c>
      <c r="F131" s="6">
        <v>312</v>
      </c>
      <c r="G131" s="6">
        <v>348</v>
      </c>
      <c r="H131" s="48">
        <f t="shared" ref="H131:H194" si="6">F131/G131</f>
        <v>0.89655172413793105</v>
      </c>
      <c r="I131" s="48">
        <f t="shared" ref="I131:I194" si="7">(H131^$I$1)/((H131^$I$1)+1)</f>
        <v>0.43565814674655312</v>
      </c>
      <c r="J131" s="50">
        <v>0.5</v>
      </c>
      <c r="K131" s="48">
        <f t="shared" ref="K131:K194" si="8">ABS(I131-J131)</f>
        <v>6.4341853253446879E-2</v>
      </c>
    </row>
    <row r="132" spans="1:11" x14ac:dyDescent="0.35">
      <c r="A132" s="6">
        <v>2011</v>
      </c>
      <c r="B132" s="6" t="s">
        <v>72</v>
      </c>
      <c r="C132" s="6">
        <v>10</v>
      </c>
      <c r="D132" s="6">
        <v>6</v>
      </c>
      <c r="E132" s="6">
        <v>0</v>
      </c>
      <c r="F132" s="6">
        <v>402</v>
      </c>
      <c r="G132" s="6">
        <v>350</v>
      </c>
      <c r="H132" s="48">
        <f t="shared" si="6"/>
        <v>1.1485714285714286</v>
      </c>
      <c r="I132" s="48">
        <f t="shared" si="7"/>
        <v>0.58134321873340178</v>
      </c>
      <c r="J132" s="50">
        <v>0.625</v>
      </c>
      <c r="K132" s="48">
        <f t="shared" si="8"/>
        <v>4.3656781266598221E-2</v>
      </c>
    </row>
    <row r="133" spans="1:11" x14ac:dyDescent="0.35">
      <c r="A133" s="6">
        <v>2011</v>
      </c>
      <c r="B133" s="6" t="s">
        <v>60</v>
      </c>
      <c r="C133" s="6">
        <v>12</v>
      </c>
      <c r="D133" s="6">
        <v>4</v>
      </c>
      <c r="E133" s="6">
        <v>0</v>
      </c>
      <c r="F133" s="6">
        <v>378</v>
      </c>
      <c r="G133" s="6">
        <v>266</v>
      </c>
      <c r="H133" s="48">
        <f t="shared" si="6"/>
        <v>1.4210526315789473</v>
      </c>
      <c r="I133" s="48">
        <f t="shared" si="7"/>
        <v>0.69694939340827744</v>
      </c>
      <c r="J133" s="50">
        <v>0.75</v>
      </c>
      <c r="K133" s="48">
        <f t="shared" si="8"/>
        <v>5.305060659172256E-2</v>
      </c>
    </row>
    <row r="134" spans="1:11" x14ac:dyDescent="0.35">
      <c r="A134" s="6">
        <v>2011</v>
      </c>
      <c r="B134" s="6" t="s">
        <v>58</v>
      </c>
      <c r="C134" s="6">
        <v>6</v>
      </c>
      <c r="D134" s="6">
        <v>10</v>
      </c>
      <c r="E134" s="6">
        <v>0</v>
      </c>
      <c r="F134" s="6">
        <v>372</v>
      </c>
      <c r="G134" s="6">
        <v>434</v>
      </c>
      <c r="H134" s="48">
        <f t="shared" si="6"/>
        <v>0.8571428571428571</v>
      </c>
      <c r="I134" s="48">
        <f t="shared" si="7"/>
        <v>0.40966821856046859</v>
      </c>
      <c r="J134" s="50">
        <v>0.375</v>
      </c>
      <c r="K134" s="48">
        <f t="shared" si="8"/>
        <v>3.4668218560468589E-2</v>
      </c>
    </row>
    <row r="135" spans="1:11" x14ac:dyDescent="0.35">
      <c r="A135" s="6">
        <v>2011</v>
      </c>
      <c r="B135" s="6" t="s">
        <v>84</v>
      </c>
      <c r="C135" s="6">
        <v>6</v>
      </c>
      <c r="D135" s="6">
        <v>10</v>
      </c>
      <c r="E135" s="6">
        <v>0</v>
      </c>
      <c r="F135" s="6">
        <v>406</v>
      </c>
      <c r="G135" s="6">
        <v>429</v>
      </c>
      <c r="H135" s="48">
        <f t="shared" si="6"/>
        <v>0.94638694638694643</v>
      </c>
      <c r="I135" s="48">
        <f t="shared" si="7"/>
        <v>0.46739734674611194</v>
      </c>
      <c r="J135" s="50">
        <v>0.375</v>
      </c>
      <c r="K135" s="48">
        <f t="shared" si="8"/>
        <v>9.2397346746111941E-2</v>
      </c>
    </row>
    <row r="136" spans="1:11" x14ac:dyDescent="0.35">
      <c r="A136" s="6">
        <v>2011</v>
      </c>
      <c r="B136" s="6" t="s">
        <v>71</v>
      </c>
      <c r="C136" s="6">
        <v>8</v>
      </c>
      <c r="D136" s="6">
        <v>8</v>
      </c>
      <c r="E136" s="6">
        <v>0</v>
      </c>
      <c r="F136" s="6">
        <v>353</v>
      </c>
      <c r="G136" s="6">
        <v>341</v>
      </c>
      <c r="H136" s="48">
        <f t="shared" si="6"/>
        <v>1.0351906158357771</v>
      </c>
      <c r="I136" s="48">
        <f t="shared" si="7"/>
        <v>0.52048049032928434</v>
      </c>
      <c r="J136" s="50">
        <v>0.5</v>
      </c>
      <c r="K136" s="48">
        <f t="shared" si="8"/>
        <v>2.048049032928434E-2</v>
      </c>
    </row>
    <row r="137" spans="1:11" x14ac:dyDescent="0.35">
      <c r="A137" s="6">
        <v>2011</v>
      </c>
      <c r="B137" s="6" t="s">
        <v>86</v>
      </c>
      <c r="C137" s="6">
        <v>9</v>
      </c>
      <c r="D137" s="6">
        <v>7</v>
      </c>
      <c r="E137" s="6">
        <v>0</v>
      </c>
      <c r="F137" s="6">
        <v>344</v>
      </c>
      <c r="G137" s="6">
        <v>323</v>
      </c>
      <c r="H137" s="48">
        <f t="shared" si="6"/>
        <v>1.0650154798761611</v>
      </c>
      <c r="I137" s="48">
        <f t="shared" si="7"/>
        <v>0.53725202317464715</v>
      </c>
      <c r="J137" s="50">
        <v>0.56299999999999994</v>
      </c>
      <c r="K137" s="48">
        <f t="shared" si="8"/>
        <v>2.5747976825352792E-2</v>
      </c>
    </row>
    <row r="138" spans="1:11" x14ac:dyDescent="0.35">
      <c r="A138" s="6">
        <v>2011</v>
      </c>
      <c r="B138" s="6" t="s">
        <v>61</v>
      </c>
      <c r="C138" s="6">
        <v>4</v>
      </c>
      <c r="D138" s="6">
        <v>12</v>
      </c>
      <c r="E138" s="6">
        <v>0</v>
      </c>
      <c r="F138" s="6">
        <v>218</v>
      </c>
      <c r="G138" s="6">
        <v>307</v>
      </c>
      <c r="H138" s="48">
        <f t="shared" si="6"/>
        <v>0.71009771986970682</v>
      </c>
      <c r="I138" s="48">
        <f t="shared" si="7"/>
        <v>0.307597385159119</v>
      </c>
      <c r="J138" s="50">
        <v>0.25</v>
      </c>
      <c r="K138" s="48">
        <f t="shared" si="8"/>
        <v>5.7597385159118997E-2</v>
      </c>
    </row>
    <row r="139" spans="1:11" x14ac:dyDescent="0.35">
      <c r="A139" s="6">
        <v>2011</v>
      </c>
      <c r="B139" s="6" t="s">
        <v>69</v>
      </c>
      <c r="C139" s="6">
        <v>8</v>
      </c>
      <c r="D139" s="6">
        <v>8</v>
      </c>
      <c r="E139" s="6">
        <v>0</v>
      </c>
      <c r="F139" s="6">
        <v>369</v>
      </c>
      <c r="G139" s="6">
        <v>347</v>
      </c>
      <c r="H139" s="48">
        <f t="shared" si="6"/>
        <v>1.0634005763688761</v>
      </c>
      <c r="I139" s="48">
        <f t="shared" si="7"/>
        <v>0.53635779410428897</v>
      </c>
      <c r="J139" s="50">
        <v>0.5</v>
      </c>
      <c r="K139" s="48">
        <f t="shared" si="8"/>
        <v>3.6357794104288965E-2</v>
      </c>
    </row>
    <row r="140" spans="1:11" x14ac:dyDescent="0.35">
      <c r="A140" s="6">
        <v>2011</v>
      </c>
      <c r="B140" s="6" t="s">
        <v>87</v>
      </c>
      <c r="C140" s="6">
        <v>8</v>
      </c>
      <c r="D140" s="6">
        <v>8</v>
      </c>
      <c r="E140" s="6">
        <v>0</v>
      </c>
      <c r="F140" s="6">
        <v>309</v>
      </c>
      <c r="G140" s="6">
        <v>390</v>
      </c>
      <c r="H140" s="48">
        <f t="shared" si="6"/>
        <v>0.79230769230769227</v>
      </c>
      <c r="I140" s="48">
        <f t="shared" si="7"/>
        <v>0.36545873554400959</v>
      </c>
      <c r="J140" s="50">
        <v>0.5</v>
      </c>
      <c r="K140" s="48">
        <f t="shared" si="8"/>
        <v>0.13454126445599041</v>
      </c>
    </row>
    <row r="141" spans="1:11" x14ac:dyDescent="0.35">
      <c r="A141" s="6">
        <v>2011</v>
      </c>
      <c r="B141" s="6" t="s">
        <v>70</v>
      </c>
      <c r="C141" s="6">
        <v>10</v>
      </c>
      <c r="D141" s="6">
        <v>6</v>
      </c>
      <c r="E141" s="6">
        <v>0</v>
      </c>
      <c r="F141" s="6">
        <v>474</v>
      </c>
      <c r="G141" s="6">
        <v>387</v>
      </c>
      <c r="H141" s="48">
        <f t="shared" si="6"/>
        <v>1.2248062015503876</v>
      </c>
      <c r="I141" s="48">
        <f t="shared" si="7"/>
        <v>0.61788832535559624</v>
      </c>
      <c r="J141" s="50">
        <v>0.625</v>
      </c>
      <c r="K141" s="48">
        <f t="shared" si="8"/>
        <v>7.1116746444037648E-3</v>
      </c>
    </row>
    <row r="142" spans="1:11" x14ac:dyDescent="0.35">
      <c r="A142" s="6">
        <v>2011</v>
      </c>
      <c r="B142" s="6" t="s">
        <v>89</v>
      </c>
      <c r="C142" s="6">
        <v>15</v>
      </c>
      <c r="D142" s="6">
        <v>1</v>
      </c>
      <c r="E142" s="6">
        <v>0</v>
      </c>
      <c r="F142" s="6">
        <v>560</v>
      </c>
      <c r="G142" s="6">
        <v>359</v>
      </c>
      <c r="H142" s="48">
        <f t="shared" si="6"/>
        <v>1.5598885793871866</v>
      </c>
      <c r="I142" s="48">
        <f t="shared" si="7"/>
        <v>0.74149169050839936</v>
      </c>
      <c r="J142" s="50">
        <v>0.93799999999999994</v>
      </c>
      <c r="K142" s="48">
        <f t="shared" si="8"/>
        <v>0.19650830949160059</v>
      </c>
    </row>
    <row r="143" spans="1:11" x14ac:dyDescent="0.35">
      <c r="A143" s="6">
        <v>2011</v>
      </c>
      <c r="B143" s="6" t="s">
        <v>77</v>
      </c>
      <c r="C143" s="6">
        <v>10</v>
      </c>
      <c r="D143" s="6">
        <v>6</v>
      </c>
      <c r="E143" s="6">
        <v>0</v>
      </c>
      <c r="F143" s="6">
        <v>381</v>
      </c>
      <c r="G143" s="6">
        <v>278</v>
      </c>
      <c r="H143" s="48">
        <f t="shared" si="6"/>
        <v>1.3705035971223021</v>
      </c>
      <c r="I143" s="48">
        <f t="shared" si="7"/>
        <v>0.67851866009209949</v>
      </c>
      <c r="J143" s="50">
        <v>0.625</v>
      </c>
      <c r="K143" s="48">
        <f t="shared" si="8"/>
        <v>5.351866009209949E-2</v>
      </c>
    </row>
    <row r="144" spans="1:11" x14ac:dyDescent="0.35">
      <c r="A144" s="6">
        <v>2011</v>
      </c>
      <c r="B144" s="6" t="s">
        <v>62</v>
      </c>
      <c r="C144" s="6">
        <v>2</v>
      </c>
      <c r="D144" s="6">
        <v>14</v>
      </c>
      <c r="E144" s="6">
        <v>0</v>
      </c>
      <c r="F144" s="6">
        <v>243</v>
      </c>
      <c r="G144" s="6">
        <v>430</v>
      </c>
      <c r="H144" s="48">
        <f t="shared" si="6"/>
        <v>0.56511627906976747</v>
      </c>
      <c r="I144" s="48">
        <f t="shared" si="7"/>
        <v>0.20544312725353747</v>
      </c>
      <c r="J144" s="50">
        <v>0.125</v>
      </c>
      <c r="K144" s="48">
        <f t="shared" si="8"/>
        <v>8.0443127253537472E-2</v>
      </c>
    </row>
    <row r="145" spans="1:11" x14ac:dyDescent="0.35">
      <c r="A145" s="6">
        <v>2011</v>
      </c>
      <c r="B145" s="6" t="s">
        <v>63</v>
      </c>
      <c r="C145" s="6">
        <v>5</v>
      </c>
      <c r="D145" s="6">
        <v>11</v>
      </c>
      <c r="E145" s="6">
        <v>0</v>
      </c>
      <c r="F145" s="6">
        <v>243</v>
      </c>
      <c r="G145" s="6">
        <v>329</v>
      </c>
      <c r="H145" s="48">
        <f t="shared" si="6"/>
        <v>0.73860182370820671</v>
      </c>
      <c r="I145" s="48">
        <f t="shared" si="7"/>
        <v>0.32781123788856292</v>
      </c>
      <c r="J145" s="50">
        <v>0.313</v>
      </c>
      <c r="K145" s="48">
        <f t="shared" si="8"/>
        <v>1.4811237888562923E-2</v>
      </c>
    </row>
    <row r="146" spans="1:11" x14ac:dyDescent="0.35">
      <c r="A146" s="6">
        <v>2011</v>
      </c>
      <c r="B146" s="6" t="s">
        <v>78</v>
      </c>
      <c r="C146" s="6">
        <v>7</v>
      </c>
      <c r="D146" s="6">
        <v>9</v>
      </c>
      <c r="E146" s="6">
        <v>0</v>
      </c>
      <c r="F146" s="6">
        <v>212</v>
      </c>
      <c r="G146" s="6">
        <v>338</v>
      </c>
      <c r="H146" s="48">
        <f t="shared" si="6"/>
        <v>0.62721893491124259</v>
      </c>
      <c r="I146" s="48">
        <f t="shared" si="7"/>
        <v>0.2487090411846419</v>
      </c>
      <c r="J146" s="50">
        <v>0.438</v>
      </c>
      <c r="K146" s="48">
        <f t="shared" si="8"/>
        <v>0.1892909588153581</v>
      </c>
    </row>
    <row r="147" spans="1:11" x14ac:dyDescent="0.35">
      <c r="A147" s="6">
        <v>2011</v>
      </c>
      <c r="B147" s="6" t="s">
        <v>59</v>
      </c>
      <c r="C147" s="6">
        <v>6</v>
      </c>
      <c r="D147" s="6">
        <v>10</v>
      </c>
      <c r="E147" s="6">
        <v>0</v>
      </c>
      <c r="F147" s="6">
        <v>329</v>
      </c>
      <c r="G147" s="6">
        <v>313</v>
      </c>
      <c r="H147" s="48">
        <f t="shared" si="6"/>
        <v>1.0511182108626198</v>
      </c>
      <c r="I147" s="48">
        <f t="shared" si="7"/>
        <v>0.5295045096740072</v>
      </c>
      <c r="J147" s="50">
        <v>0.375</v>
      </c>
      <c r="K147" s="48">
        <f t="shared" si="8"/>
        <v>0.1545045096740072</v>
      </c>
    </row>
    <row r="148" spans="1:11" x14ac:dyDescent="0.35">
      <c r="A148" s="6">
        <v>2011</v>
      </c>
      <c r="B148" s="6" t="s">
        <v>80</v>
      </c>
      <c r="C148" s="6">
        <v>3</v>
      </c>
      <c r="D148" s="6">
        <v>13</v>
      </c>
      <c r="E148" s="6">
        <v>0</v>
      </c>
      <c r="F148" s="6">
        <v>340</v>
      </c>
      <c r="G148" s="6">
        <v>449</v>
      </c>
      <c r="H148" s="48">
        <f t="shared" si="6"/>
        <v>0.75723830734966591</v>
      </c>
      <c r="I148" s="48">
        <f t="shared" si="7"/>
        <v>0.34095459181797144</v>
      </c>
      <c r="J148" s="50">
        <v>0.188</v>
      </c>
      <c r="K148" s="48">
        <f t="shared" si="8"/>
        <v>0.15295459181797144</v>
      </c>
    </row>
    <row r="149" spans="1:11" x14ac:dyDescent="0.35">
      <c r="A149" s="6">
        <v>2011</v>
      </c>
      <c r="B149" s="6" t="s">
        <v>88</v>
      </c>
      <c r="C149" s="6">
        <v>13</v>
      </c>
      <c r="D149" s="6">
        <v>3</v>
      </c>
      <c r="E149" s="6">
        <v>0</v>
      </c>
      <c r="F149" s="6">
        <v>513</v>
      </c>
      <c r="G149" s="6">
        <v>342</v>
      </c>
      <c r="H149" s="48">
        <f t="shared" si="6"/>
        <v>1.5</v>
      </c>
      <c r="I149" s="48">
        <f t="shared" si="7"/>
        <v>0.7233124321755029</v>
      </c>
      <c r="J149" s="50">
        <v>0.81299999999999994</v>
      </c>
      <c r="K149" s="48">
        <f t="shared" si="8"/>
        <v>8.968756782449705E-2</v>
      </c>
    </row>
    <row r="150" spans="1:11" x14ac:dyDescent="0.35">
      <c r="A150" s="6">
        <v>2011</v>
      </c>
      <c r="B150" s="6" t="s">
        <v>73</v>
      </c>
      <c r="C150" s="6">
        <v>13</v>
      </c>
      <c r="D150" s="6">
        <v>3</v>
      </c>
      <c r="E150" s="6">
        <v>0</v>
      </c>
      <c r="F150" s="6">
        <v>547</v>
      </c>
      <c r="G150" s="6">
        <v>339</v>
      </c>
      <c r="H150" s="48">
        <f t="shared" si="6"/>
        <v>1.6135693215339233</v>
      </c>
      <c r="I150" s="48">
        <f t="shared" si="7"/>
        <v>0.75656222303302267</v>
      </c>
      <c r="J150" s="50">
        <v>0.81299999999999994</v>
      </c>
      <c r="K150" s="48">
        <f t="shared" si="8"/>
        <v>5.6437776966977271E-2</v>
      </c>
    </row>
    <row r="151" spans="1:11" x14ac:dyDescent="0.35">
      <c r="A151" s="6">
        <v>2011</v>
      </c>
      <c r="B151" s="6" t="s">
        <v>68</v>
      </c>
      <c r="C151" s="6">
        <v>9</v>
      </c>
      <c r="D151" s="6">
        <v>7</v>
      </c>
      <c r="E151" s="6">
        <v>0</v>
      </c>
      <c r="F151" s="6">
        <v>394</v>
      </c>
      <c r="G151" s="6">
        <v>400</v>
      </c>
      <c r="H151" s="48">
        <f t="shared" si="6"/>
        <v>0.98499999999999999</v>
      </c>
      <c r="I151" s="48">
        <f t="shared" si="7"/>
        <v>0.49104612691309879</v>
      </c>
      <c r="J151" s="50">
        <v>0.56299999999999994</v>
      </c>
      <c r="K151" s="48">
        <f t="shared" si="8"/>
        <v>7.1953873086901154E-2</v>
      </c>
    </row>
    <row r="152" spans="1:11" x14ac:dyDescent="0.35">
      <c r="A152" s="6">
        <v>2011</v>
      </c>
      <c r="B152" s="6" t="s">
        <v>57</v>
      </c>
      <c r="C152" s="6">
        <v>8</v>
      </c>
      <c r="D152" s="6">
        <v>8</v>
      </c>
      <c r="E152" s="6">
        <v>0</v>
      </c>
      <c r="F152" s="6">
        <v>377</v>
      </c>
      <c r="G152" s="6">
        <v>363</v>
      </c>
      <c r="H152" s="48">
        <f t="shared" si="6"/>
        <v>1.0385674931129476</v>
      </c>
      <c r="I152" s="48">
        <f t="shared" si="7"/>
        <v>0.52240657705920523</v>
      </c>
      <c r="J152" s="50">
        <v>0.5</v>
      </c>
      <c r="K152" s="48">
        <f t="shared" si="8"/>
        <v>2.2406577059205235E-2</v>
      </c>
    </row>
    <row r="153" spans="1:11" x14ac:dyDescent="0.35">
      <c r="A153" s="6">
        <v>2011</v>
      </c>
      <c r="B153" s="6" t="s">
        <v>65</v>
      </c>
      <c r="C153" s="6">
        <v>8</v>
      </c>
      <c r="D153" s="6">
        <v>8</v>
      </c>
      <c r="E153" s="6">
        <v>0</v>
      </c>
      <c r="F153" s="6">
        <v>359</v>
      </c>
      <c r="G153" s="6">
        <v>433</v>
      </c>
      <c r="H153" s="48">
        <f t="shared" si="6"/>
        <v>0.82909930715935332</v>
      </c>
      <c r="I153" s="48">
        <f t="shared" si="7"/>
        <v>0.39074675484255839</v>
      </c>
      <c r="J153" s="50">
        <v>0.5</v>
      </c>
      <c r="K153" s="48">
        <f t="shared" si="8"/>
        <v>0.10925324515744161</v>
      </c>
    </row>
    <row r="154" spans="1:11" x14ac:dyDescent="0.35">
      <c r="A154" s="6">
        <v>2011</v>
      </c>
      <c r="B154" s="6" t="s">
        <v>67</v>
      </c>
      <c r="C154" s="6">
        <v>8</v>
      </c>
      <c r="D154" s="6">
        <v>8</v>
      </c>
      <c r="E154" s="6">
        <v>0</v>
      </c>
      <c r="F154" s="6">
        <v>396</v>
      </c>
      <c r="G154" s="6">
        <v>328</v>
      </c>
      <c r="H154" s="48">
        <f t="shared" si="6"/>
        <v>1.2073170731707317</v>
      </c>
      <c r="I154" s="48">
        <f t="shared" si="7"/>
        <v>0.60980899958319312</v>
      </c>
      <c r="J154" s="50">
        <v>0.5</v>
      </c>
      <c r="K154" s="48">
        <f t="shared" si="8"/>
        <v>0.10980899958319312</v>
      </c>
    </row>
    <row r="155" spans="1:11" x14ac:dyDescent="0.35">
      <c r="A155" s="6">
        <v>2011</v>
      </c>
      <c r="B155" s="6" t="s">
        <v>82</v>
      </c>
      <c r="C155" s="6">
        <v>12</v>
      </c>
      <c r="D155" s="6">
        <v>4</v>
      </c>
      <c r="E155" s="6">
        <v>0</v>
      </c>
      <c r="F155" s="6">
        <v>325</v>
      </c>
      <c r="G155" s="6">
        <v>227</v>
      </c>
      <c r="H155" s="48">
        <f t="shared" si="6"/>
        <v>1.4317180616740088</v>
      </c>
      <c r="I155" s="48">
        <f t="shared" si="7"/>
        <v>0.70067917866841212</v>
      </c>
      <c r="J155" s="50">
        <v>0.75</v>
      </c>
      <c r="K155" s="48">
        <f t="shared" si="8"/>
        <v>4.9320821331587883E-2</v>
      </c>
    </row>
    <row r="156" spans="1:11" x14ac:dyDescent="0.35">
      <c r="A156" s="6">
        <v>2011</v>
      </c>
      <c r="B156" s="6" t="s">
        <v>66</v>
      </c>
      <c r="C156" s="6">
        <v>8</v>
      </c>
      <c r="D156" s="6">
        <v>8</v>
      </c>
      <c r="E156" s="6">
        <v>0</v>
      </c>
      <c r="F156" s="6">
        <v>406</v>
      </c>
      <c r="G156" s="6">
        <v>377</v>
      </c>
      <c r="H156" s="48">
        <f t="shared" si="6"/>
        <v>1.0769230769230769</v>
      </c>
      <c r="I156" s="48">
        <f t="shared" si="7"/>
        <v>0.54379644539989658</v>
      </c>
      <c r="J156" s="50">
        <v>0.5</v>
      </c>
      <c r="K156" s="48">
        <f t="shared" si="8"/>
        <v>4.3796445399896577E-2</v>
      </c>
    </row>
    <row r="157" spans="1:11" x14ac:dyDescent="0.35">
      <c r="A157" s="6">
        <v>2011</v>
      </c>
      <c r="B157" s="6" t="s">
        <v>76</v>
      </c>
      <c r="C157" s="6">
        <v>13</v>
      </c>
      <c r="D157" s="6">
        <v>3</v>
      </c>
      <c r="E157" s="6">
        <v>0</v>
      </c>
      <c r="F157" s="6">
        <v>380</v>
      </c>
      <c r="G157" s="6">
        <v>229</v>
      </c>
      <c r="H157" s="48">
        <f t="shared" si="6"/>
        <v>1.6593886462882097</v>
      </c>
      <c r="I157" s="48">
        <f t="shared" si="7"/>
        <v>0.76857542982487048</v>
      </c>
      <c r="J157" s="50">
        <v>0.81299999999999994</v>
      </c>
      <c r="K157" s="48">
        <f t="shared" si="8"/>
        <v>4.4424570175129463E-2</v>
      </c>
    </row>
    <row r="158" spans="1:11" x14ac:dyDescent="0.35">
      <c r="A158" s="6">
        <v>2011</v>
      </c>
      <c r="B158" s="6" t="s">
        <v>85</v>
      </c>
      <c r="C158" s="6">
        <v>7</v>
      </c>
      <c r="D158" s="6">
        <v>9</v>
      </c>
      <c r="E158" s="6">
        <v>0</v>
      </c>
      <c r="F158" s="6">
        <v>321</v>
      </c>
      <c r="G158" s="6">
        <v>315</v>
      </c>
      <c r="H158" s="48">
        <f t="shared" si="6"/>
        <v>1.019047619047619</v>
      </c>
      <c r="I158" s="48">
        <f t="shared" si="7"/>
        <v>0.5111777143142836</v>
      </c>
      <c r="J158" s="50">
        <v>0.438</v>
      </c>
      <c r="K158" s="48">
        <f t="shared" si="8"/>
        <v>7.3177714314283604E-2</v>
      </c>
    </row>
    <row r="159" spans="1:11" x14ac:dyDescent="0.35">
      <c r="A159" s="6">
        <v>2011</v>
      </c>
      <c r="B159" s="6" t="s">
        <v>75</v>
      </c>
      <c r="C159" s="6">
        <v>2</v>
      </c>
      <c r="D159" s="6">
        <v>14</v>
      </c>
      <c r="E159" s="6">
        <v>0</v>
      </c>
      <c r="F159" s="6">
        <v>193</v>
      </c>
      <c r="G159" s="6">
        <v>407</v>
      </c>
      <c r="H159" s="48">
        <f t="shared" si="6"/>
        <v>0.47420147420147418</v>
      </c>
      <c r="I159" s="48">
        <f t="shared" si="7"/>
        <v>0.1457524358669251</v>
      </c>
      <c r="J159" s="50">
        <v>0.125</v>
      </c>
      <c r="K159" s="48">
        <f t="shared" si="8"/>
        <v>2.0752435866925101E-2</v>
      </c>
    </row>
    <row r="160" spans="1:11" x14ac:dyDescent="0.35">
      <c r="A160" s="6">
        <v>2011</v>
      </c>
      <c r="B160" s="6" t="s">
        <v>74</v>
      </c>
      <c r="C160" s="6">
        <v>4</v>
      </c>
      <c r="D160" s="6">
        <v>12</v>
      </c>
      <c r="E160" s="6">
        <v>0</v>
      </c>
      <c r="F160" s="6">
        <v>287</v>
      </c>
      <c r="G160" s="6">
        <v>494</v>
      </c>
      <c r="H160" s="48">
        <f t="shared" si="6"/>
        <v>0.58097165991902833</v>
      </c>
      <c r="I160" s="48">
        <f t="shared" si="7"/>
        <v>0.21635486609148005</v>
      </c>
      <c r="J160" s="50">
        <v>0.25</v>
      </c>
      <c r="K160" s="48">
        <f t="shared" si="8"/>
        <v>3.3645133908519947E-2</v>
      </c>
    </row>
    <row r="161" spans="1:11" x14ac:dyDescent="0.35">
      <c r="A161" s="6">
        <v>2011</v>
      </c>
      <c r="B161" s="6" t="s">
        <v>64</v>
      </c>
      <c r="C161" s="6">
        <v>9</v>
      </c>
      <c r="D161" s="6">
        <v>7</v>
      </c>
      <c r="E161" s="6">
        <v>0</v>
      </c>
      <c r="F161" s="6">
        <v>325</v>
      </c>
      <c r="G161" s="6">
        <v>317</v>
      </c>
      <c r="H161" s="48">
        <f t="shared" si="6"/>
        <v>1.025236593059937</v>
      </c>
      <c r="I161" s="48">
        <f t="shared" si="7"/>
        <v>0.51476282736092427</v>
      </c>
      <c r="J161" s="50">
        <v>0.56299999999999994</v>
      </c>
      <c r="K161" s="48">
        <f t="shared" si="8"/>
        <v>4.8237172639075676E-2</v>
      </c>
    </row>
    <row r="162" spans="1:11" x14ac:dyDescent="0.35">
      <c r="A162" s="6">
        <v>2011</v>
      </c>
      <c r="B162" s="6" t="s">
        <v>79</v>
      </c>
      <c r="C162" s="6">
        <v>5</v>
      </c>
      <c r="D162" s="6">
        <v>11</v>
      </c>
      <c r="E162" s="6">
        <v>0</v>
      </c>
      <c r="F162" s="6">
        <v>288</v>
      </c>
      <c r="G162" s="6">
        <v>367</v>
      </c>
      <c r="H162" s="48">
        <f t="shared" si="6"/>
        <v>0.78474114441416898</v>
      </c>
      <c r="I162" s="48">
        <f t="shared" si="7"/>
        <v>0.36020114140454906</v>
      </c>
      <c r="J162" s="50">
        <v>0.313</v>
      </c>
      <c r="K162" s="48">
        <f t="shared" si="8"/>
        <v>4.7201141404549063E-2</v>
      </c>
    </row>
    <row r="163" spans="1:11" x14ac:dyDescent="0.35">
      <c r="A163" s="6">
        <v>2010</v>
      </c>
      <c r="B163" s="6" t="s">
        <v>83</v>
      </c>
      <c r="C163" s="6">
        <v>5</v>
      </c>
      <c r="D163" s="6">
        <v>11</v>
      </c>
      <c r="E163" s="6">
        <v>0</v>
      </c>
      <c r="F163" s="6">
        <v>289</v>
      </c>
      <c r="G163" s="6">
        <v>434</v>
      </c>
      <c r="H163" s="48">
        <f t="shared" si="6"/>
        <v>0.66589861751152069</v>
      </c>
      <c r="I163" s="48">
        <f t="shared" si="7"/>
        <v>0.27614114436123116</v>
      </c>
      <c r="J163" s="50">
        <v>0.313</v>
      </c>
      <c r="K163" s="48">
        <f t="shared" si="8"/>
        <v>3.6858855638768839E-2</v>
      </c>
    </row>
    <row r="164" spans="1:11" x14ac:dyDescent="0.35">
      <c r="A164" s="6">
        <v>2010</v>
      </c>
      <c r="B164" s="6" t="s">
        <v>72</v>
      </c>
      <c r="C164" s="6">
        <v>13</v>
      </c>
      <c r="D164" s="6">
        <v>3</v>
      </c>
      <c r="E164" s="6">
        <v>0</v>
      </c>
      <c r="F164" s="6">
        <v>414</v>
      </c>
      <c r="G164" s="6">
        <v>288</v>
      </c>
      <c r="H164" s="48">
        <f t="shared" si="6"/>
        <v>1.4375</v>
      </c>
      <c r="I164" s="48">
        <f t="shared" si="7"/>
        <v>0.7026786260838358</v>
      </c>
      <c r="J164" s="50">
        <v>0.81299999999999994</v>
      </c>
      <c r="K164" s="48">
        <f t="shared" si="8"/>
        <v>0.11032137391616414</v>
      </c>
    </row>
    <row r="165" spans="1:11" x14ac:dyDescent="0.35">
      <c r="A165" s="6">
        <v>2010</v>
      </c>
      <c r="B165" s="6" t="s">
        <v>60</v>
      </c>
      <c r="C165" s="6">
        <v>12</v>
      </c>
      <c r="D165" s="6">
        <v>4</v>
      </c>
      <c r="E165" s="6">
        <v>0</v>
      </c>
      <c r="F165" s="6">
        <v>357</v>
      </c>
      <c r="G165" s="6">
        <v>270</v>
      </c>
      <c r="H165" s="48">
        <f t="shared" si="6"/>
        <v>1.3222222222222222</v>
      </c>
      <c r="I165" s="48">
        <f t="shared" si="7"/>
        <v>0.65970362678260008</v>
      </c>
      <c r="J165" s="50">
        <v>0.75</v>
      </c>
      <c r="K165" s="48">
        <f t="shared" si="8"/>
        <v>9.0296373217399917E-2</v>
      </c>
    </row>
    <row r="166" spans="1:11" x14ac:dyDescent="0.35">
      <c r="A166" s="6">
        <v>2010</v>
      </c>
      <c r="B166" s="6" t="s">
        <v>58</v>
      </c>
      <c r="C166" s="6">
        <v>4</v>
      </c>
      <c r="D166" s="6">
        <v>12</v>
      </c>
      <c r="E166" s="6">
        <v>0</v>
      </c>
      <c r="F166" s="6">
        <v>283</v>
      </c>
      <c r="G166" s="6">
        <v>425</v>
      </c>
      <c r="H166" s="48">
        <f t="shared" si="6"/>
        <v>0.66588235294117648</v>
      </c>
      <c r="I166" s="48">
        <f t="shared" si="7"/>
        <v>0.27612957345122086</v>
      </c>
      <c r="J166" s="50">
        <v>0.25</v>
      </c>
      <c r="K166" s="48">
        <f t="shared" si="8"/>
        <v>2.6129573451220856E-2</v>
      </c>
    </row>
    <row r="167" spans="1:11" x14ac:dyDescent="0.35">
      <c r="A167" s="6">
        <v>2010</v>
      </c>
      <c r="B167" s="6" t="s">
        <v>84</v>
      </c>
      <c r="C167" s="6">
        <v>2</v>
      </c>
      <c r="D167" s="6">
        <v>14</v>
      </c>
      <c r="E167" s="6">
        <v>0</v>
      </c>
      <c r="F167" s="6">
        <v>196</v>
      </c>
      <c r="G167" s="6">
        <v>408</v>
      </c>
      <c r="H167" s="48">
        <f t="shared" si="6"/>
        <v>0.48039215686274511</v>
      </c>
      <c r="I167" s="48">
        <f t="shared" si="7"/>
        <v>0.14962166689853029</v>
      </c>
      <c r="J167" s="50">
        <v>0.125</v>
      </c>
      <c r="K167" s="48">
        <f t="shared" si="8"/>
        <v>2.4621666898530292E-2</v>
      </c>
    </row>
    <row r="168" spans="1:11" x14ac:dyDescent="0.35">
      <c r="A168" s="6">
        <v>2010</v>
      </c>
      <c r="B168" s="6" t="s">
        <v>71</v>
      </c>
      <c r="C168" s="6">
        <v>11</v>
      </c>
      <c r="D168" s="6">
        <v>5</v>
      </c>
      <c r="E168" s="6">
        <v>0</v>
      </c>
      <c r="F168" s="6">
        <v>334</v>
      </c>
      <c r="G168" s="6">
        <v>286</v>
      </c>
      <c r="H168" s="48">
        <f t="shared" si="6"/>
        <v>1.1678321678321679</v>
      </c>
      <c r="I168" s="48">
        <f t="shared" si="7"/>
        <v>0.59090396165459003</v>
      </c>
      <c r="J168" s="50">
        <v>0.68799999999999994</v>
      </c>
      <c r="K168" s="48">
        <f t="shared" si="8"/>
        <v>9.7096038345409919E-2</v>
      </c>
    </row>
    <row r="169" spans="1:11" x14ac:dyDescent="0.35">
      <c r="A169" s="6">
        <v>2010</v>
      </c>
      <c r="B169" s="6" t="s">
        <v>86</v>
      </c>
      <c r="C169" s="6">
        <v>4</v>
      </c>
      <c r="D169" s="6">
        <v>12</v>
      </c>
      <c r="E169" s="6">
        <v>0</v>
      </c>
      <c r="F169" s="6">
        <v>322</v>
      </c>
      <c r="G169" s="6">
        <v>395</v>
      </c>
      <c r="H169" s="48">
        <f t="shared" si="6"/>
        <v>0.81518987341772153</v>
      </c>
      <c r="I169" s="48">
        <f t="shared" si="7"/>
        <v>0.38124383978756249</v>
      </c>
      <c r="J169" s="50">
        <v>0.25</v>
      </c>
      <c r="K169" s="48">
        <f t="shared" si="8"/>
        <v>0.13124383978756249</v>
      </c>
    </row>
    <row r="170" spans="1:11" x14ac:dyDescent="0.35">
      <c r="A170" s="6">
        <v>2010</v>
      </c>
      <c r="B170" s="6" t="s">
        <v>61</v>
      </c>
      <c r="C170" s="6">
        <v>5</v>
      </c>
      <c r="D170" s="6">
        <v>11</v>
      </c>
      <c r="E170" s="6">
        <v>0</v>
      </c>
      <c r="F170" s="6">
        <v>271</v>
      </c>
      <c r="G170" s="6">
        <v>332</v>
      </c>
      <c r="H170" s="48">
        <f t="shared" si="6"/>
        <v>0.8162650602409639</v>
      </c>
      <c r="I170" s="48">
        <f t="shared" si="7"/>
        <v>0.38198101447703448</v>
      </c>
      <c r="J170" s="50">
        <v>0.313</v>
      </c>
      <c r="K170" s="48">
        <f t="shared" si="8"/>
        <v>6.8981014477034475E-2</v>
      </c>
    </row>
    <row r="171" spans="1:11" x14ac:dyDescent="0.35">
      <c r="A171" s="6">
        <v>2010</v>
      </c>
      <c r="B171" s="6" t="s">
        <v>69</v>
      </c>
      <c r="C171" s="6">
        <v>6</v>
      </c>
      <c r="D171" s="6">
        <v>10</v>
      </c>
      <c r="E171" s="6">
        <v>0</v>
      </c>
      <c r="F171" s="6">
        <v>394</v>
      </c>
      <c r="G171" s="6">
        <v>436</v>
      </c>
      <c r="H171" s="48">
        <f t="shared" si="6"/>
        <v>0.90366972477064222</v>
      </c>
      <c r="I171" s="48">
        <f t="shared" si="7"/>
        <v>0.44027145095081993</v>
      </c>
      <c r="J171" s="50">
        <v>0.375</v>
      </c>
      <c r="K171" s="48">
        <f t="shared" si="8"/>
        <v>6.5271450950819931E-2</v>
      </c>
    </row>
    <row r="172" spans="1:11" x14ac:dyDescent="0.35">
      <c r="A172" s="6">
        <v>2010</v>
      </c>
      <c r="B172" s="6" t="s">
        <v>87</v>
      </c>
      <c r="C172" s="6">
        <v>4</v>
      </c>
      <c r="D172" s="6">
        <v>12</v>
      </c>
      <c r="E172" s="6">
        <v>0</v>
      </c>
      <c r="F172" s="6">
        <v>344</v>
      </c>
      <c r="G172" s="6">
        <v>471</v>
      </c>
      <c r="H172" s="48">
        <f t="shared" si="6"/>
        <v>0.73036093418259018</v>
      </c>
      <c r="I172" s="48">
        <f t="shared" si="7"/>
        <v>0.32197877733445907</v>
      </c>
      <c r="J172" s="50">
        <v>0.25</v>
      </c>
      <c r="K172" s="48">
        <f t="shared" si="8"/>
        <v>7.1978777334459065E-2</v>
      </c>
    </row>
    <row r="173" spans="1:11" x14ac:dyDescent="0.35">
      <c r="A173" s="6">
        <v>2010</v>
      </c>
      <c r="B173" s="6" t="s">
        <v>70</v>
      </c>
      <c r="C173" s="6">
        <v>6</v>
      </c>
      <c r="D173" s="6">
        <v>10</v>
      </c>
      <c r="E173" s="6">
        <v>0</v>
      </c>
      <c r="F173" s="6">
        <v>362</v>
      </c>
      <c r="G173" s="6">
        <v>369</v>
      </c>
      <c r="H173" s="48">
        <f t="shared" si="6"/>
        <v>0.98102981029810299</v>
      </c>
      <c r="I173" s="48">
        <f t="shared" si="7"/>
        <v>0.4886541319001026</v>
      </c>
      <c r="J173" s="50">
        <v>0.375</v>
      </c>
      <c r="K173" s="48">
        <f t="shared" si="8"/>
        <v>0.1136541319001026</v>
      </c>
    </row>
    <row r="174" spans="1:11" x14ac:dyDescent="0.35">
      <c r="A174" s="6">
        <v>2010</v>
      </c>
      <c r="B174" s="6" t="s">
        <v>89</v>
      </c>
      <c r="C174" s="6">
        <v>10</v>
      </c>
      <c r="D174" s="6">
        <v>6</v>
      </c>
      <c r="E174" s="6">
        <v>0</v>
      </c>
      <c r="F174" s="6">
        <v>388</v>
      </c>
      <c r="G174" s="6">
        <v>240</v>
      </c>
      <c r="H174" s="48">
        <f t="shared" si="6"/>
        <v>1.6166666666666667</v>
      </c>
      <c r="I174" s="48">
        <f t="shared" si="7"/>
        <v>0.75739832564125698</v>
      </c>
      <c r="J174" s="50">
        <v>0.625</v>
      </c>
      <c r="K174" s="48">
        <f t="shared" si="8"/>
        <v>0.13239832564125698</v>
      </c>
    </row>
    <row r="175" spans="1:11" x14ac:dyDescent="0.35">
      <c r="A175" s="6">
        <v>2010</v>
      </c>
      <c r="B175" s="6" t="s">
        <v>77</v>
      </c>
      <c r="C175" s="6">
        <v>6</v>
      </c>
      <c r="D175" s="6">
        <v>10</v>
      </c>
      <c r="E175" s="6">
        <v>0</v>
      </c>
      <c r="F175" s="6">
        <v>390</v>
      </c>
      <c r="G175" s="6">
        <v>427</v>
      </c>
      <c r="H175" s="48">
        <f t="shared" si="6"/>
        <v>0.9133489461358314</v>
      </c>
      <c r="I175" s="48">
        <f t="shared" si="7"/>
        <v>0.44650296867084044</v>
      </c>
      <c r="J175" s="50">
        <v>0.375</v>
      </c>
      <c r="K175" s="48">
        <f t="shared" si="8"/>
        <v>7.1502968670840439E-2</v>
      </c>
    </row>
    <row r="176" spans="1:11" x14ac:dyDescent="0.35">
      <c r="A176" s="6">
        <v>2010</v>
      </c>
      <c r="B176" s="6" t="s">
        <v>62</v>
      </c>
      <c r="C176" s="6">
        <v>10</v>
      </c>
      <c r="D176" s="6">
        <v>6</v>
      </c>
      <c r="E176" s="6">
        <v>0</v>
      </c>
      <c r="F176" s="6">
        <v>435</v>
      </c>
      <c r="G176" s="6">
        <v>388</v>
      </c>
      <c r="H176" s="48">
        <f t="shared" si="6"/>
        <v>1.1211340206185567</v>
      </c>
      <c r="I176" s="48">
        <f t="shared" si="7"/>
        <v>0.56733530366600537</v>
      </c>
      <c r="J176" s="50">
        <v>0.625</v>
      </c>
      <c r="K176" s="48">
        <f t="shared" si="8"/>
        <v>5.7664696333994625E-2</v>
      </c>
    </row>
    <row r="177" spans="1:11" x14ac:dyDescent="0.35">
      <c r="A177" s="6">
        <v>2010</v>
      </c>
      <c r="B177" s="6" t="s">
        <v>63</v>
      </c>
      <c r="C177" s="6">
        <v>8</v>
      </c>
      <c r="D177" s="6">
        <v>8</v>
      </c>
      <c r="E177" s="6">
        <v>0</v>
      </c>
      <c r="F177" s="6">
        <v>353</v>
      </c>
      <c r="G177" s="6">
        <v>419</v>
      </c>
      <c r="H177" s="48">
        <f t="shared" si="6"/>
        <v>0.84248210023866343</v>
      </c>
      <c r="I177" s="48">
        <f t="shared" si="7"/>
        <v>0.39981769133624739</v>
      </c>
      <c r="J177" s="50">
        <v>0.5</v>
      </c>
      <c r="K177" s="48">
        <f t="shared" si="8"/>
        <v>0.10018230866375261</v>
      </c>
    </row>
    <row r="178" spans="1:11" x14ac:dyDescent="0.35">
      <c r="A178" s="6">
        <v>2010</v>
      </c>
      <c r="B178" s="6" t="s">
        <v>78</v>
      </c>
      <c r="C178" s="6">
        <v>10</v>
      </c>
      <c r="D178" s="6">
        <v>6</v>
      </c>
      <c r="E178" s="6">
        <v>0</v>
      </c>
      <c r="F178" s="6">
        <v>366</v>
      </c>
      <c r="G178" s="6">
        <v>326</v>
      </c>
      <c r="H178" s="48">
        <f t="shared" si="6"/>
        <v>1.1226993865030674</v>
      </c>
      <c r="I178" s="48">
        <f t="shared" si="7"/>
        <v>0.56814682109290116</v>
      </c>
      <c r="J178" s="50">
        <v>0.625</v>
      </c>
      <c r="K178" s="48">
        <f t="shared" si="8"/>
        <v>5.6853178907098845E-2</v>
      </c>
    </row>
    <row r="179" spans="1:11" x14ac:dyDescent="0.35">
      <c r="A179" s="6">
        <v>2010</v>
      </c>
      <c r="B179" s="6" t="s">
        <v>59</v>
      </c>
      <c r="C179" s="6">
        <v>7</v>
      </c>
      <c r="D179" s="6">
        <v>9</v>
      </c>
      <c r="E179" s="6">
        <v>0</v>
      </c>
      <c r="F179" s="6">
        <v>273</v>
      </c>
      <c r="G179" s="6">
        <v>333</v>
      </c>
      <c r="H179" s="48">
        <f t="shared" si="6"/>
        <v>0.81981981981981977</v>
      </c>
      <c r="I179" s="48">
        <f t="shared" si="7"/>
        <v>0.38441518702705491</v>
      </c>
      <c r="J179" s="50">
        <v>0.438</v>
      </c>
      <c r="K179" s="48">
        <f t="shared" si="8"/>
        <v>5.3584812972945095E-2</v>
      </c>
    </row>
    <row r="180" spans="1:11" x14ac:dyDescent="0.35">
      <c r="A180" s="6">
        <v>2010</v>
      </c>
      <c r="B180" s="6" t="s">
        <v>80</v>
      </c>
      <c r="C180" s="6">
        <v>6</v>
      </c>
      <c r="D180" s="6">
        <v>10</v>
      </c>
      <c r="E180" s="6">
        <v>0</v>
      </c>
      <c r="F180" s="6">
        <v>281</v>
      </c>
      <c r="G180" s="6">
        <v>348</v>
      </c>
      <c r="H180" s="48">
        <f t="shared" si="6"/>
        <v>0.80747126436781613</v>
      </c>
      <c r="I180" s="48">
        <f t="shared" si="7"/>
        <v>0.37593944882360747</v>
      </c>
      <c r="J180" s="50">
        <v>0.375</v>
      </c>
      <c r="K180" s="48">
        <f t="shared" si="8"/>
        <v>9.394488236074694E-4</v>
      </c>
    </row>
    <row r="181" spans="1:11" x14ac:dyDescent="0.35">
      <c r="A181" s="6">
        <v>2010</v>
      </c>
      <c r="B181" s="6" t="s">
        <v>88</v>
      </c>
      <c r="C181" s="6">
        <v>14</v>
      </c>
      <c r="D181" s="6">
        <v>2</v>
      </c>
      <c r="E181" s="6">
        <v>0</v>
      </c>
      <c r="F181" s="6">
        <v>518</v>
      </c>
      <c r="G181" s="6">
        <v>313</v>
      </c>
      <c r="H181" s="48">
        <f t="shared" si="6"/>
        <v>1.6549520766773163</v>
      </c>
      <c r="I181" s="48">
        <f t="shared" si="7"/>
        <v>0.7674449470131901</v>
      </c>
      <c r="J181" s="50">
        <v>0.875</v>
      </c>
      <c r="K181" s="48">
        <f t="shared" si="8"/>
        <v>0.1075550529868099</v>
      </c>
    </row>
    <row r="182" spans="1:11" x14ac:dyDescent="0.35">
      <c r="A182" s="6">
        <v>2010</v>
      </c>
      <c r="B182" s="6" t="s">
        <v>73</v>
      </c>
      <c r="C182" s="6">
        <v>11</v>
      </c>
      <c r="D182" s="6">
        <v>5</v>
      </c>
      <c r="E182" s="6">
        <v>0</v>
      </c>
      <c r="F182" s="6">
        <v>384</v>
      </c>
      <c r="G182" s="6">
        <v>307</v>
      </c>
      <c r="H182" s="48">
        <f t="shared" si="6"/>
        <v>1.2508143322475569</v>
      </c>
      <c r="I182" s="48">
        <f t="shared" si="7"/>
        <v>0.62957492872676935</v>
      </c>
      <c r="J182" s="50">
        <v>0.68799999999999994</v>
      </c>
      <c r="K182" s="48">
        <f t="shared" si="8"/>
        <v>5.84250712732306E-2</v>
      </c>
    </row>
    <row r="183" spans="1:11" x14ac:dyDescent="0.35">
      <c r="A183" s="6">
        <v>2010</v>
      </c>
      <c r="B183" s="6" t="s">
        <v>68</v>
      </c>
      <c r="C183" s="6">
        <v>10</v>
      </c>
      <c r="D183" s="6">
        <v>6</v>
      </c>
      <c r="E183" s="6">
        <v>0</v>
      </c>
      <c r="F183" s="6">
        <v>394</v>
      </c>
      <c r="G183" s="6">
        <v>347</v>
      </c>
      <c r="H183" s="48">
        <f t="shared" si="6"/>
        <v>1.1354466858789625</v>
      </c>
      <c r="I183" s="48">
        <f t="shared" si="7"/>
        <v>0.57469964884381797</v>
      </c>
      <c r="J183" s="50">
        <v>0.625</v>
      </c>
      <c r="K183" s="48">
        <f t="shared" si="8"/>
        <v>5.0300351156182033E-2</v>
      </c>
    </row>
    <row r="184" spans="1:11" x14ac:dyDescent="0.35">
      <c r="A184" s="6">
        <v>2010</v>
      </c>
      <c r="B184" s="6" t="s">
        <v>57</v>
      </c>
      <c r="C184" s="6">
        <v>11</v>
      </c>
      <c r="D184" s="6">
        <v>5</v>
      </c>
      <c r="E184" s="6">
        <v>0</v>
      </c>
      <c r="F184" s="6">
        <v>367</v>
      </c>
      <c r="G184" s="6">
        <v>304</v>
      </c>
      <c r="H184" s="48">
        <f t="shared" si="6"/>
        <v>1.2072368421052631</v>
      </c>
      <c r="I184" s="48">
        <f t="shared" si="7"/>
        <v>0.60977152277618607</v>
      </c>
      <c r="J184" s="50">
        <v>0.68799999999999994</v>
      </c>
      <c r="K184" s="48">
        <f t="shared" si="8"/>
        <v>7.8228477223813875E-2</v>
      </c>
    </row>
    <row r="185" spans="1:11" x14ac:dyDescent="0.35">
      <c r="A185" s="6">
        <v>2010</v>
      </c>
      <c r="B185" s="6" t="s">
        <v>65</v>
      </c>
      <c r="C185" s="6">
        <v>8</v>
      </c>
      <c r="D185" s="6">
        <v>8</v>
      </c>
      <c r="E185" s="6">
        <v>0</v>
      </c>
      <c r="F185" s="6">
        <v>410</v>
      </c>
      <c r="G185" s="6">
        <v>371</v>
      </c>
      <c r="H185" s="48">
        <f t="shared" si="6"/>
        <v>1.105121293800539</v>
      </c>
      <c r="I185" s="48">
        <f t="shared" si="7"/>
        <v>0.55894797950411701</v>
      </c>
      <c r="J185" s="50">
        <v>0.5</v>
      </c>
      <c r="K185" s="48">
        <f t="shared" si="8"/>
        <v>5.894797950411701E-2</v>
      </c>
    </row>
    <row r="186" spans="1:11" x14ac:dyDescent="0.35">
      <c r="A186" s="6">
        <v>2010</v>
      </c>
      <c r="B186" s="6" t="s">
        <v>67</v>
      </c>
      <c r="C186" s="6">
        <v>10</v>
      </c>
      <c r="D186" s="6">
        <v>6</v>
      </c>
      <c r="E186" s="6">
        <v>0</v>
      </c>
      <c r="F186" s="6">
        <v>439</v>
      </c>
      <c r="G186" s="6">
        <v>377</v>
      </c>
      <c r="H186" s="48">
        <f t="shared" si="6"/>
        <v>1.1644562334217508</v>
      </c>
      <c r="I186" s="48">
        <f t="shared" si="7"/>
        <v>0.58924436780761358</v>
      </c>
      <c r="J186" s="50">
        <v>0.625</v>
      </c>
      <c r="K186" s="48">
        <f t="shared" si="8"/>
        <v>3.5755632192386422E-2</v>
      </c>
    </row>
    <row r="187" spans="1:11" x14ac:dyDescent="0.35">
      <c r="A187" s="6">
        <v>2010</v>
      </c>
      <c r="B187" s="6" t="s">
        <v>82</v>
      </c>
      <c r="C187" s="6">
        <v>12</v>
      </c>
      <c r="D187" s="6">
        <v>4</v>
      </c>
      <c r="E187" s="6">
        <v>0</v>
      </c>
      <c r="F187" s="6">
        <v>375</v>
      </c>
      <c r="G187" s="6">
        <v>232</v>
      </c>
      <c r="H187" s="48">
        <f t="shared" si="6"/>
        <v>1.6163793103448276</v>
      </c>
      <c r="I187" s="48">
        <f t="shared" si="7"/>
        <v>0.75732090577011668</v>
      </c>
      <c r="J187" s="50">
        <v>0.75</v>
      </c>
      <c r="K187" s="48">
        <f t="shared" si="8"/>
        <v>7.3209057701166813E-3</v>
      </c>
    </row>
    <row r="188" spans="1:11" x14ac:dyDescent="0.35">
      <c r="A188" s="6">
        <v>2010</v>
      </c>
      <c r="B188" s="6" t="s">
        <v>66</v>
      </c>
      <c r="C188" s="6">
        <v>9</v>
      </c>
      <c r="D188" s="6">
        <v>7</v>
      </c>
      <c r="E188" s="6">
        <v>0</v>
      </c>
      <c r="F188" s="6">
        <v>441</v>
      </c>
      <c r="G188" s="6">
        <v>322</v>
      </c>
      <c r="H188" s="48">
        <f t="shared" si="6"/>
        <v>1.3695652173913044</v>
      </c>
      <c r="I188" s="48">
        <f t="shared" si="7"/>
        <v>0.67816446800985752</v>
      </c>
      <c r="J188" s="50">
        <v>0.56299999999999994</v>
      </c>
      <c r="K188" s="48">
        <f t="shared" si="8"/>
        <v>0.11516446800985758</v>
      </c>
    </row>
    <row r="189" spans="1:11" x14ac:dyDescent="0.35">
      <c r="A189" s="6">
        <v>2010</v>
      </c>
      <c r="B189" s="6" t="s">
        <v>76</v>
      </c>
      <c r="C189" s="6">
        <v>6</v>
      </c>
      <c r="D189" s="6">
        <v>10</v>
      </c>
      <c r="E189" s="6">
        <v>0</v>
      </c>
      <c r="F189" s="6">
        <v>305</v>
      </c>
      <c r="G189" s="6">
        <v>346</v>
      </c>
      <c r="H189" s="48">
        <f t="shared" si="6"/>
        <v>0.88150289017341044</v>
      </c>
      <c r="I189" s="48">
        <f t="shared" si="7"/>
        <v>0.42582127821268262</v>
      </c>
      <c r="J189" s="50">
        <v>0.375</v>
      </c>
      <c r="K189" s="48">
        <f t="shared" si="8"/>
        <v>5.0821278212682619E-2</v>
      </c>
    </row>
    <row r="190" spans="1:11" x14ac:dyDescent="0.35">
      <c r="A190" s="6">
        <v>2010</v>
      </c>
      <c r="B190" s="6" t="s">
        <v>85</v>
      </c>
      <c r="C190" s="6">
        <v>7</v>
      </c>
      <c r="D190" s="6">
        <v>9</v>
      </c>
      <c r="E190" s="6">
        <v>0</v>
      </c>
      <c r="F190" s="6">
        <v>310</v>
      </c>
      <c r="G190" s="6">
        <v>407</v>
      </c>
      <c r="H190" s="48">
        <f t="shared" si="6"/>
        <v>0.76167076167076164</v>
      </c>
      <c r="I190" s="48">
        <f t="shared" si="7"/>
        <v>0.34406955910380271</v>
      </c>
      <c r="J190" s="50">
        <v>0.438</v>
      </c>
      <c r="K190" s="48">
        <f t="shared" si="8"/>
        <v>9.3930440896197287E-2</v>
      </c>
    </row>
    <row r="191" spans="1:11" x14ac:dyDescent="0.35">
      <c r="A191" s="6">
        <v>2010</v>
      </c>
      <c r="B191" s="6" t="s">
        <v>75</v>
      </c>
      <c r="C191" s="6">
        <v>7</v>
      </c>
      <c r="D191" s="6">
        <v>9</v>
      </c>
      <c r="E191" s="6">
        <v>0</v>
      </c>
      <c r="F191" s="6">
        <v>289</v>
      </c>
      <c r="G191" s="6">
        <v>328</v>
      </c>
      <c r="H191" s="48">
        <f t="shared" si="6"/>
        <v>0.88109756097560976</v>
      </c>
      <c r="I191" s="48">
        <f t="shared" si="7"/>
        <v>0.42555479389391104</v>
      </c>
      <c r="J191" s="50">
        <v>0.438</v>
      </c>
      <c r="K191" s="48">
        <f t="shared" si="8"/>
        <v>1.2445206106088957E-2</v>
      </c>
    </row>
    <row r="192" spans="1:11" x14ac:dyDescent="0.35">
      <c r="A192" s="6">
        <v>2010</v>
      </c>
      <c r="B192" s="6" t="s">
        <v>74</v>
      </c>
      <c r="C192" s="6">
        <v>10</v>
      </c>
      <c r="D192" s="6">
        <v>6</v>
      </c>
      <c r="E192" s="6">
        <v>0</v>
      </c>
      <c r="F192" s="6">
        <v>341</v>
      </c>
      <c r="G192" s="6">
        <v>318</v>
      </c>
      <c r="H192" s="48">
        <f t="shared" si="6"/>
        <v>1.0723270440251573</v>
      </c>
      <c r="I192" s="48">
        <f t="shared" si="7"/>
        <v>0.54128074267189497</v>
      </c>
      <c r="J192" s="50">
        <v>0.625</v>
      </c>
      <c r="K192" s="48">
        <f t="shared" si="8"/>
        <v>8.3719257328105035E-2</v>
      </c>
    </row>
    <row r="193" spans="1:11" x14ac:dyDescent="0.35">
      <c r="A193" s="6">
        <v>2010</v>
      </c>
      <c r="B193" s="6" t="s">
        <v>64</v>
      </c>
      <c r="C193" s="6">
        <v>6</v>
      </c>
      <c r="D193" s="6">
        <v>10</v>
      </c>
      <c r="E193" s="6">
        <v>0</v>
      </c>
      <c r="F193" s="6">
        <v>356</v>
      </c>
      <c r="G193" s="6">
        <v>339</v>
      </c>
      <c r="H193" s="48">
        <f t="shared" si="6"/>
        <v>1.0501474926253687</v>
      </c>
      <c r="I193" s="48">
        <f t="shared" si="7"/>
        <v>0.52895894831372703</v>
      </c>
      <c r="J193" s="50">
        <v>0.375</v>
      </c>
      <c r="K193" s="48">
        <f t="shared" si="8"/>
        <v>0.15395894831372703</v>
      </c>
    </row>
    <row r="194" spans="1:11" x14ac:dyDescent="0.35">
      <c r="A194" s="6">
        <v>2010</v>
      </c>
      <c r="B194" s="6" t="s">
        <v>79</v>
      </c>
      <c r="C194" s="6">
        <v>6</v>
      </c>
      <c r="D194" s="6">
        <v>10</v>
      </c>
      <c r="E194" s="6">
        <v>0</v>
      </c>
      <c r="F194" s="6">
        <v>302</v>
      </c>
      <c r="G194" s="6">
        <v>377</v>
      </c>
      <c r="H194" s="48">
        <f t="shared" si="6"/>
        <v>0.80106100795755963</v>
      </c>
      <c r="I194" s="48">
        <f t="shared" si="7"/>
        <v>0.37151823576286924</v>
      </c>
      <c r="J194" s="50">
        <v>0.375</v>
      </c>
      <c r="K194" s="48">
        <f t="shared" si="8"/>
        <v>3.4817642371307578E-3</v>
      </c>
    </row>
    <row r="195" spans="1:11" x14ac:dyDescent="0.35">
      <c r="A195" s="6">
        <v>2009</v>
      </c>
      <c r="B195" s="6" t="s">
        <v>83</v>
      </c>
      <c r="C195" s="6">
        <v>5</v>
      </c>
      <c r="D195" s="6">
        <v>11</v>
      </c>
      <c r="E195" s="6">
        <v>0</v>
      </c>
      <c r="F195" s="6">
        <v>289</v>
      </c>
      <c r="G195" s="6">
        <v>434</v>
      </c>
      <c r="H195" s="48">
        <f t="shared" ref="H195:H258" si="9">F195/G195</f>
        <v>0.66589861751152069</v>
      </c>
      <c r="I195" s="48">
        <f t="shared" ref="I195:I258" si="10">(H195^$I$1)/((H195^$I$1)+1)</f>
        <v>0.27614114436123116</v>
      </c>
      <c r="J195" s="50">
        <v>0.313</v>
      </c>
      <c r="K195" s="48">
        <f t="shared" ref="K195:K258" si="11">ABS(I195-J195)</f>
        <v>3.6858855638768839E-2</v>
      </c>
    </row>
    <row r="196" spans="1:11" x14ac:dyDescent="0.35">
      <c r="A196" s="6">
        <v>2009</v>
      </c>
      <c r="B196" s="6" t="s">
        <v>72</v>
      </c>
      <c r="C196" s="6">
        <v>13</v>
      </c>
      <c r="D196" s="6">
        <v>3</v>
      </c>
      <c r="E196" s="6">
        <v>0</v>
      </c>
      <c r="F196" s="6">
        <v>414</v>
      </c>
      <c r="G196" s="6">
        <v>288</v>
      </c>
      <c r="H196" s="48">
        <f t="shared" si="9"/>
        <v>1.4375</v>
      </c>
      <c r="I196" s="48">
        <f t="shared" si="10"/>
        <v>0.7026786260838358</v>
      </c>
      <c r="J196" s="50">
        <v>0.81299999999999994</v>
      </c>
      <c r="K196" s="48">
        <f t="shared" si="11"/>
        <v>0.11032137391616414</v>
      </c>
    </row>
    <row r="197" spans="1:11" x14ac:dyDescent="0.35">
      <c r="A197" s="6">
        <v>2009</v>
      </c>
      <c r="B197" s="6" t="s">
        <v>60</v>
      </c>
      <c r="C197" s="6">
        <v>12</v>
      </c>
      <c r="D197" s="6">
        <v>4</v>
      </c>
      <c r="E197" s="6">
        <v>0</v>
      </c>
      <c r="F197" s="6">
        <v>357</v>
      </c>
      <c r="G197" s="6">
        <v>270</v>
      </c>
      <c r="H197" s="48">
        <f t="shared" si="9"/>
        <v>1.3222222222222222</v>
      </c>
      <c r="I197" s="48">
        <f t="shared" si="10"/>
        <v>0.65970362678260008</v>
      </c>
      <c r="J197" s="50">
        <v>0.75</v>
      </c>
      <c r="K197" s="48">
        <f t="shared" si="11"/>
        <v>9.0296373217399917E-2</v>
      </c>
    </row>
    <row r="198" spans="1:11" x14ac:dyDescent="0.35">
      <c r="A198" s="6">
        <v>2009</v>
      </c>
      <c r="B198" s="6" t="s">
        <v>58</v>
      </c>
      <c r="C198" s="6">
        <v>4</v>
      </c>
      <c r="D198" s="6">
        <v>12</v>
      </c>
      <c r="E198" s="6">
        <v>0</v>
      </c>
      <c r="F198" s="6">
        <v>283</v>
      </c>
      <c r="G198" s="6">
        <v>425</v>
      </c>
      <c r="H198" s="48">
        <f t="shared" si="9"/>
        <v>0.66588235294117648</v>
      </c>
      <c r="I198" s="48">
        <f t="shared" si="10"/>
        <v>0.27612957345122086</v>
      </c>
      <c r="J198" s="50">
        <v>0.25</v>
      </c>
      <c r="K198" s="48">
        <f t="shared" si="11"/>
        <v>2.6129573451220856E-2</v>
      </c>
    </row>
    <row r="199" spans="1:11" x14ac:dyDescent="0.35">
      <c r="A199" s="6">
        <v>2009</v>
      </c>
      <c r="B199" s="6" t="s">
        <v>84</v>
      </c>
      <c r="C199" s="6">
        <v>2</v>
      </c>
      <c r="D199" s="6">
        <v>14</v>
      </c>
      <c r="E199" s="6">
        <v>0</v>
      </c>
      <c r="F199" s="6">
        <v>196</v>
      </c>
      <c r="G199" s="6">
        <v>408</v>
      </c>
      <c r="H199" s="48">
        <f t="shared" si="9"/>
        <v>0.48039215686274511</v>
      </c>
      <c r="I199" s="48">
        <f t="shared" si="10"/>
        <v>0.14962166689853029</v>
      </c>
      <c r="J199" s="50">
        <v>0.125</v>
      </c>
      <c r="K199" s="48">
        <f t="shared" si="11"/>
        <v>2.4621666898530292E-2</v>
      </c>
    </row>
    <row r="200" spans="1:11" x14ac:dyDescent="0.35">
      <c r="A200" s="6">
        <v>2009</v>
      </c>
      <c r="B200" s="6" t="s">
        <v>71</v>
      </c>
      <c r="C200" s="6">
        <v>11</v>
      </c>
      <c r="D200" s="6">
        <v>5</v>
      </c>
      <c r="E200" s="6">
        <v>0</v>
      </c>
      <c r="F200" s="6">
        <v>334</v>
      </c>
      <c r="G200" s="6">
        <v>286</v>
      </c>
      <c r="H200" s="48">
        <f t="shared" si="9"/>
        <v>1.1678321678321679</v>
      </c>
      <c r="I200" s="48">
        <f t="shared" si="10"/>
        <v>0.59090396165459003</v>
      </c>
      <c r="J200" s="50">
        <v>0.68799999999999994</v>
      </c>
      <c r="K200" s="48">
        <f t="shared" si="11"/>
        <v>9.7096038345409919E-2</v>
      </c>
    </row>
    <row r="201" spans="1:11" x14ac:dyDescent="0.35">
      <c r="A201" s="6">
        <v>2009</v>
      </c>
      <c r="B201" s="6" t="s">
        <v>86</v>
      </c>
      <c r="C201" s="6">
        <v>4</v>
      </c>
      <c r="D201" s="6">
        <v>12</v>
      </c>
      <c r="E201" s="6">
        <v>0</v>
      </c>
      <c r="F201" s="6">
        <v>322</v>
      </c>
      <c r="G201" s="6">
        <v>395</v>
      </c>
      <c r="H201" s="48">
        <f t="shared" si="9"/>
        <v>0.81518987341772153</v>
      </c>
      <c r="I201" s="48">
        <f t="shared" si="10"/>
        <v>0.38124383978756249</v>
      </c>
      <c r="J201" s="50">
        <v>0.25</v>
      </c>
      <c r="K201" s="48">
        <f t="shared" si="11"/>
        <v>0.13124383978756249</v>
      </c>
    </row>
    <row r="202" spans="1:11" x14ac:dyDescent="0.35">
      <c r="A202" s="6">
        <v>2009</v>
      </c>
      <c r="B202" s="6" t="s">
        <v>61</v>
      </c>
      <c r="C202" s="6">
        <v>5</v>
      </c>
      <c r="D202" s="6">
        <v>11</v>
      </c>
      <c r="E202" s="6">
        <v>0</v>
      </c>
      <c r="F202" s="6">
        <v>271</v>
      </c>
      <c r="G202" s="6">
        <v>332</v>
      </c>
      <c r="H202" s="48">
        <f t="shared" si="9"/>
        <v>0.8162650602409639</v>
      </c>
      <c r="I202" s="48">
        <f t="shared" si="10"/>
        <v>0.38198101447703448</v>
      </c>
      <c r="J202" s="50">
        <v>0.313</v>
      </c>
      <c r="K202" s="48">
        <f t="shared" si="11"/>
        <v>6.8981014477034475E-2</v>
      </c>
    </row>
    <row r="203" spans="1:11" x14ac:dyDescent="0.35">
      <c r="A203" s="6">
        <v>2009</v>
      </c>
      <c r="B203" s="6" t="s">
        <v>69</v>
      </c>
      <c r="C203" s="6">
        <v>6</v>
      </c>
      <c r="D203" s="6">
        <v>10</v>
      </c>
      <c r="E203" s="6">
        <v>0</v>
      </c>
      <c r="F203" s="6">
        <v>394</v>
      </c>
      <c r="G203" s="6">
        <v>436</v>
      </c>
      <c r="H203" s="48">
        <f t="shared" si="9"/>
        <v>0.90366972477064222</v>
      </c>
      <c r="I203" s="48">
        <f t="shared" si="10"/>
        <v>0.44027145095081993</v>
      </c>
      <c r="J203" s="50">
        <v>0.375</v>
      </c>
      <c r="K203" s="48">
        <f t="shared" si="11"/>
        <v>6.5271450950819931E-2</v>
      </c>
    </row>
    <row r="204" spans="1:11" x14ac:dyDescent="0.35">
      <c r="A204" s="6">
        <v>2009</v>
      </c>
      <c r="B204" s="6" t="s">
        <v>87</v>
      </c>
      <c r="C204" s="6">
        <v>4</v>
      </c>
      <c r="D204" s="6">
        <v>12</v>
      </c>
      <c r="E204" s="6">
        <v>0</v>
      </c>
      <c r="F204" s="6">
        <v>344</v>
      </c>
      <c r="G204" s="6">
        <v>471</v>
      </c>
      <c r="H204" s="48">
        <f t="shared" si="9"/>
        <v>0.73036093418259018</v>
      </c>
      <c r="I204" s="48">
        <f t="shared" si="10"/>
        <v>0.32197877733445907</v>
      </c>
      <c r="J204" s="50">
        <v>0.25</v>
      </c>
      <c r="K204" s="48">
        <f t="shared" si="11"/>
        <v>7.1978777334459065E-2</v>
      </c>
    </row>
    <row r="205" spans="1:11" x14ac:dyDescent="0.35">
      <c r="A205" s="6">
        <v>2009</v>
      </c>
      <c r="B205" s="6" t="s">
        <v>70</v>
      </c>
      <c r="C205" s="6">
        <v>6</v>
      </c>
      <c r="D205" s="6">
        <v>10</v>
      </c>
      <c r="E205" s="6">
        <v>0</v>
      </c>
      <c r="F205" s="6">
        <v>362</v>
      </c>
      <c r="G205" s="6">
        <v>369</v>
      </c>
      <c r="H205" s="48">
        <f t="shared" si="9"/>
        <v>0.98102981029810299</v>
      </c>
      <c r="I205" s="48">
        <f t="shared" si="10"/>
        <v>0.4886541319001026</v>
      </c>
      <c r="J205" s="50">
        <v>0.375</v>
      </c>
      <c r="K205" s="48">
        <f t="shared" si="11"/>
        <v>0.1136541319001026</v>
      </c>
    </row>
    <row r="206" spans="1:11" x14ac:dyDescent="0.35">
      <c r="A206" s="6">
        <v>2009</v>
      </c>
      <c r="B206" s="6" t="s">
        <v>89</v>
      </c>
      <c r="C206" s="6">
        <v>10</v>
      </c>
      <c r="D206" s="6">
        <v>6</v>
      </c>
      <c r="E206" s="6">
        <v>0</v>
      </c>
      <c r="F206" s="6">
        <v>388</v>
      </c>
      <c r="G206" s="6">
        <v>240</v>
      </c>
      <c r="H206" s="48">
        <f t="shared" si="9"/>
        <v>1.6166666666666667</v>
      </c>
      <c r="I206" s="48">
        <f t="shared" si="10"/>
        <v>0.75739832564125698</v>
      </c>
      <c r="J206" s="50">
        <v>0.625</v>
      </c>
      <c r="K206" s="48">
        <f t="shared" si="11"/>
        <v>0.13239832564125698</v>
      </c>
    </row>
    <row r="207" spans="1:11" x14ac:dyDescent="0.35">
      <c r="A207" s="6">
        <v>2009</v>
      </c>
      <c r="B207" s="6" t="s">
        <v>77</v>
      </c>
      <c r="C207" s="6">
        <v>6</v>
      </c>
      <c r="D207" s="6">
        <v>10</v>
      </c>
      <c r="E207" s="6">
        <v>0</v>
      </c>
      <c r="F207" s="6">
        <v>390</v>
      </c>
      <c r="G207" s="6">
        <v>427</v>
      </c>
      <c r="H207" s="48">
        <f t="shared" si="9"/>
        <v>0.9133489461358314</v>
      </c>
      <c r="I207" s="48">
        <f t="shared" si="10"/>
        <v>0.44650296867084044</v>
      </c>
      <c r="J207" s="50">
        <v>0.375</v>
      </c>
      <c r="K207" s="48">
        <f t="shared" si="11"/>
        <v>7.1502968670840439E-2</v>
      </c>
    </row>
    <row r="208" spans="1:11" x14ac:dyDescent="0.35">
      <c r="A208" s="6">
        <v>2009</v>
      </c>
      <c r="B208" s="6" t="s">
        <v>62</v>
      </c>
      <c r="C208" s="6">
        <v>10</v>
      </c>
      <c r="D208" s="6">
        <v>6</v>
      </c>
      <c r="E208" s="6">
        <v>0</v>
      </c>
      <c r="F208" s="6">
        <v>435</v>
      </c>
      <c r="G208" s="6">
        <v>388</v>
      </c>
      <c r="H208" s="48">
        <f t="shared" si="9"/>
        <v>1.1211340206185567</v>
      </c>
      <c r="I208" s="48">
        <f t="shared" si="10"/>
        <v>0.56733530366600537</v>
      </c>
      <c r="J208" s="50">
        <v>0.625</v>
      </c>
      <c r="K208" s="48">
        <f t="shared" si="11"/>
        <v>5.7664696333994625E-2</v>
      </c>
    </row>
    <row r="209" spans="1:11" x14ac:dyDescent="0.35">
      <c r="A209" s="6">
        <v>2009</v>
      </c>
      <c r="B209" s="6" t="s">
        <v>63</v>
      </c>
      <c r="C209" s="6">
        <v>8</v>
      </c>
      <c r="D209" s="6">
        <v>8</v>
      </c>
      <c r="E209" s="6">
        <v>0</v>
      </c>
      <c r="F209" s="6">
        <v>353</v>
      </c>
      <c r="G209" s="6">
        <v>419</v>
      </c>
      <c r="H209" s="48">
        <f t="shared" si="9"/>
        <v>0.84248210023866343</v>
      </c>
      <c r="I209" s="48">
        <f t="shared" si="10"/>
        <v>0.39981769133624739</v>
      </c>
      <c r="J209" s="50">
        <v>0.5</v>
      </c>
      <c r="K209" s="48">
        <f t="shared" si="11"/>
        <v>0.10018230866375261</v>
      </c>
    </row>
    <row r="210" spans="1:11" x14ac:dyDescent="0.35">
      <c r="A210" s="6">
        <v>2009</v>
      </c>
      <c r="B210" s="6" t="s">
        <v>78</v>
      </c>
      <c r="C210" s="6">
        <v>10</v>
      </c>
      <c r="D210" s="6">
        <v>6</v>
      </c>
      <c r="E210" s="6">
        <v>0</v>
      </c>
      <c r="F210" s="6">
        <v>366</v>
      </c>
      <c r="G210" s="6">
        <v>326</v>
      </c>
      <c r="H210" s="48">
        <f t="shared" si="9"/>
        <v>1.1226993865030674</v>
      </c>
      <c r="I210" s="48">
        <f t="shared" si="10"/>
        <v>0.56814682109290116</v>
      </c>
      <c r="J210" s="50">
        <v>0.625</v>
      </c>
      <c r="K210" s="48">
        <f t="shared" si="11"/>
        <v>5.6853178907098845E-2</v>
      </c>
    </row>
    <row r="211" spans="1:11" x14ac:dyDescent="0.35">
      <c r="A211" s="6">
        <v>2009</v>
      </c>
      <c r="B211" s="6" t="s">
        <v>59</v>
      </c>
      <c r="C211" s="6">
        <v>7</v>
      </c>
      <c r="D211" s="6">
        <v>9</v>
      </c>
      <c r="E211" s="6">
        <v>0</v>
      </c>
      <c r="F211" s="6">
        <v>273</v>
      </c>
      <c r="G211" s="6">
        <v>333</v>
      </c>
      <c r="H211" s="48">
        <f t="shared" si="9"/>
        <v>0.81981981981981977</v>
      </c>
      <c r="I211" s="48">
        <f t="shared" si="10"/>
        <v>0.38441518702705491</v>
      </c>
      <c r="J211" s="50">
        <v>0.438</v>
      </c>
      <c r="K211" s="48">
        <f t="shared" si="11"/>
        <v>5.3584812972945095E-2</v>
      </c>
    </row>
    <row r="212" spans="1:11" x14ac:dyDescent="0.35">
      <c r="A212" s="6">
        <v>2009</v>
      </c>
      <c r="B212" s="6" t="s">
        <v>80</v>
      </c>
      <c r="C212" s="6">
        <v>6</v>
      </c>
      <c r="D212" s="6">
        <v>10</v>
      </c>
      <c r="E212" s="6">
        <v>0</v>
      </c>
      <c r="F212" s="6">
        <v>281</v>
      </c>
      <c r="G212" s="6">
        <v>348</v>
      </c>
      <c r="H212" s="48">
        <f t="shared" si="9"/>
        <v>0.80747126436781613</v>
      </c>
      <c r="I212" s="48">
        <f t="shared" si="10"/>
        <v>0.37593944882360747</v>
      </c>
      <c r="J212" s="50">
        <v>0.375</v>
      </c>
      <c r="K212" s="48">
        <f t="shared" si="11"/>
        <v>9.394488236074694E-4</v>
      </c>
    </row>
    <row r="213" spans="1:11" x14ac:dyDescent="0.35">
      <c r="A213" s="6">
        <v>2009</v>
      </c>
      <c r="B213" s="6" t="s">
        <v>88</v>
      </c>
      <c r="C213" s="6">
        <v>14</v>
      </c>
      <c r="D213" s="6">
        <v>2</v>
      </c>
      <c r="E213" s="6">
        <v>0</v>
      </c>
      <c r="F213" s="6">
        <v>518</v>
      </c>
      <c r="G213" s="6">
        <v>313</v>
      </c>
      <c r="H213" s="48">
        <f t="shared" si="9"/>
        <v>1.6549520766773163</v>
      </c>
      <c r="I213" s="48">
        <f t="shared" si="10"/>
        <v>0.7674449470131901</v>
      </c>
      <c r="J213" s="50">
        <v>0.875</v>
      </c>
      <c r="K213" s="48">
        <f t="shared" si="11"/>
        <v>0.1075550529868099</v>
      </c>
    </row>
    <row r="214" spans="1:11" x14ac:dyDescent="0.35">
      <c r="A214" s="6">
        <v>2009</v>
      </c>
      <c r="B214" s="6" t="s">
        <v>73</v>
      </c>
      <c r="C214" s="6">
        <v>11</v>
      </c>
      <c r="D214" s="6">
        <v>5</v>
      </c>
      <c r="E214" s="6">
        <v>0</v>
      </c>
      <c r="F214" s="6">
        <v>384</v>
      </c>
      <c r="G214" s="6">
        <v>307</v>
      </c>
      <c r="H214" s="48">
        <f t="shared" si="9"/>
        <v>1.2508143322475569</v>
      </c>
      <c r="I214" s="48">
        <f t="shared" si="10"/>
        <v>0.62957492872676935</v>
      </c>
      <c r="J214" s="50">
        <v>0.68799999999999994</v>
      </c>
      <c r="K214" s="48">
        <f t="shared" si="11"/>
        <v>5.84250712732306E-2</v>
      </c>
    </row>
    <row r="215" spans="1:11" x14ac:dyDescent="0.35">
      <c r="A215" s="6">
        <v>2009</v>
      </c>
      <c r="B215" s="6" t="s">
        <v>68</v>
      </c>
      <c r="C215" s="6">
        <v>10</v>
      </c>
      <c r="D215" s="6">
        <v>6</v>
      </c>
      <c r="E215" s="6">
        <v>0</v>
      </c>
      <c r="F215" s="6">
        <v>394</v>
      </c>
      <c r="G215" s="6">
        <v>347</v>
      </c>
      <c r="H215" s="48">
        <f t="shared" si="9"/>
        <v>1.1354466858789625</v>
      </c>
      <c r="I215" s="48">
        <f t="shared" si="10"/>
        <v>0.57469964884381797</v>
      </c>
      <c r="J215" s="50">
        <v>0.625</v>
      </c>
      <c r="K215" s="48">
        <f t="shared" si="11"/>
        <v>5.0300351156182033E-2</v>
      </c>
    </row>
    <row r="216" spans="1:11" x14ac:dyDescent="0.35">
      <c r="A216" s="6">
        <v>2009</v>
      </c>
      <c r="B216" s="6" t="s">
        <v>57</v>
      </c>
      <c r="C216" s="6">
        <v>11</v>
      </c>
      <c r="D216" s="6">
        <v>5</v>
      </c>
      <c r="E216" s="6">
        <v>0</v>
      </c>
      <c r="F216" s="6">
        <v>367</v>
      </c>
      <c r="G216" s="6">
        <v>304</v>
      </c>
      <c r="H216" s="48">
        <f t="shared" si="9"/>
        <v>1.2072368421052631</v>
      </c>
      <c r="I216" s="48">
        <f t="shared" si="10"/>
        <v>0.60977152277618607</v>
      </c>
      <c r="J216" s="50">
        <v>0.68799999999999994</v>
      </c>
      <c r="K216" s="48">
        <f t="shared" si="11"/>
        <v>7.8228477223813875E-2</v>
      </c>
    </row>
    <row r="217" spans="1:11" x14ac:dyDescent="0.35">
      <c r="A217" s="6">
        <v>2009</v>
      </c>
      <c r="B217" s="6" t="s">
        <v>65</v>
      </c>
      <c r="C217" s="6">
        <v>8</v>
      </c>
      <c r="D217" s="6">
        <v>8</v>
      </c>
      <c r="E217" s="6">
        <v>0</v>
      </c>
      <c r="F217" s="6">
        <v>410</v>
      </c>
      <c r="G217" s="6">
        <v>371</v>
      </c>
      <c r="H217" s="48">
        <f t="shared" si="9"/>
        <v>1.105121293800539</v>
      </c>
      <c r="I217" s="48">
        <f t="shared" si="10"/>
        <v>0.55894797950411701</v>
      </c>
      <c r="J217" s="50">
        <v>0.5</v>
      </c>
      <c r="K217" s="48">
        <f t="shared" si="11"/>
        <v>5.894797950411701E-2</v>
      </c>
    </row>
    <row r="218" spans="1:11" x14ac:dyDescent="0.35">
      <c r="A218" s="6">
        <v>2009</v>
      </c>
      <c r="B218" s="6" t="s">
        <v>67</v>
      </c>
      <c r="C218" s="6">
        <v>10</v>
      </c>
      <c r="D218" s="6">
        <v>6</v>
      </c>
      <c r="E218" s="6">
        <v>0</v>
      </c>
      <c r="F218" s="6">
        <v>439</v>
      </c>
      <c r="G218" s="6">
        <v>377</v>
      </c>
      <c r="H218" s="48">
        <f t="shared" si="9"/>
        <v>1.1644562334217508</v>
      </c>
      <c r="I218" s="48">
        <f t="shared" si="10"/>
        <v>0.58924436780761358</v>
      </c>
      <c r="J218" s="50">
        <v>0.625</v>
      </c>
      <c r="K218" s="48">
        <f t="shared" si="11"/>
        <v>3.5755632192386422E-2</v>
      </c>
    </row>
    <row r="219" spans="1:11" x14ac:dyDescent="0.35">
      <c r="A219" s="6">
        <v>2009</v>
      </c>
      <c r="B219" s="6" t="s">
        <v>82</v>
      </c>
      <c r="C219" s="6">
        <v>12</v>
      </c>
      <c r="D219" s="6">
        <v>4</v>
      </c>
      <c r="E219" s="6">
        <v>0</v>
      </c>
      <c r="F219" s="6">
        <v>375</v>
      </c>
      <c r="G219" s="6">
        <v>232</v>
      </c>
      <c r="H219" s="48">
        <f t="shared" si="9"/>
        <v>1.6163793103448276</v>
      </c>
      <c r="I219" s="48">
        <f t="shared" si="10"/>
        <v>0.75732090577011668</v>
      </c>
      <c r="J219" s="50">
        <v>0.75</v>
      </c>
      <c r="K219" s="48">
        <f t="shared" si="11"/>
        <v>7.3209057701166813E-3</v>
      </c>
    </row>
    <row r="220" spans="1:11" x14ac:dyDescent="0.35">
      <c r="A220" s="6">
        <v>2009</v>
      </c>
      <c r="B220" s="6" t="s">
        <v>66</v>
      </c>
      <c r="C220" s="6">
        <v>9</v>
      </c>
      <c r="D220" s="6">
        <v>7</v>
      </c>
      <c r="E220" s="6">
        <v>0</v>
      </c>
      <c r="F220" s="6">
        <v>441</v>
      </c>
      <c r="G220" s="6">
        <v>322</v>
      </c>
      <c r="H220" s="48">
        <f t="shared" si="9"/>
        <v>1.3695652173913044</v>
      </c>
      <c r="I220" s="48">
        <f t="shared" si="10"/>
        <v>0.67816446800985752</v>
      </c>
      <c r="J220" s="50">
        <v>0.56299999999999994</v>
      </c>
      <c r="K220" s="48">
        <f t="shared" si="11"/>
        <v>0.11516446800985758</v>
      </c>
    </row>
    <row r="221" spans="1:11" x14ac:dyDescent="0.35">
      <c r="A221" s="6">
        <v>2009</v>
      </c>
      <c r="B221" s="6" t="s">
        <v>76</v>
      </c>
      <c r="C221" s="6">
        <v>6</v>
      </c>
      <c r="D221" s="6">
        <v>10</v>
      </c>
      <c r="E221" s="6">
        <v>0</v>
      </c>
      <c r="F221" s="6">
        <v>305</v>
      </c>
      <c r="G221" s="6">
        <v>346</v>
      </c>
      <c r="H221" s="48">
        <f t="shared" si="9"/>
        <v>0.88150289017341044</v>
      </c>
      <c r="I221" s="48">
        <f t="shared" si="10"/>
        <v>0.42582127821268262</v>
      </c>
      <c r="J221" s="50">
        <v>0.375</v>
      </c>
      <c r="K221" s="48">
        <f t="shared" si="11"/>
        <v>5.0821278212682619E-2</v>
      </c>
    </row>
    <row r="222" spans="1:11" x14ac:dyDescent="0.35">
      <c r="A222" s="6">
        <v>2009</v>
      </c>
      <c r="B222" s="6" t="s">
        <v>85</v>
      </c>
      <c r="C222" s="6">
        <v>7</v>
      </c>
      <c r="D222" s="6">
        <v>9</v>
      </c>
      <c r="E222" s="6">
        <v>0</v>
      </c>
      <c r="F222" s="6">
        <v>310</v>
      </c>
      <c r="G222" s="6">
        <v>407</v>
      </c>
      <c r="H222" s="48">
        <f t="shared" si="9"/>
        <v>0.76167076167076164</v>
      </c>
      <c r="I222" s="48">
        <f t="shared" si="10"/>
        <v>0.34406955910380271</v>
      </c>
      <c r="J222" s="50">
        <v>0.438</v>
      </c>
      <c r="K222" s="48">
        <f t="shared" si="11"/>
        <v>9.3930440896197287E-2</v>
      </c>
    </row>
    <row r="223" spans="1:11" x14ac:dyDescent="0.35">
      <c r="A223" s="6">
        <v>2009</v>
      </c>
      <c r="B223" s="6" t="s">
        <v>75</v>
      </c>
      <c r="C223" s="6">
        <v>7</v>
      </c>
      <c r="D223" s="6">
        <v>9</v>
      </c>
      <c r="E223" s="6">
        <v>0</v>
      </c>
      <c r="F223" s="6">
        <v>289</v>
      </c>
      <c r="G223" s="6">
        <v>328</v>
      </c>
      <c r="H223" s="48">
        <f t="shared" si="9"/>
        <v>0.88109756097560976</v>
      </c>
      <c r="I223" s="48">
        <f t="shared" si="10"/>
        <v>0.42555479389391104</v>
      </c>
      <c r="J223" s="50">
        <v>0.438</v>
      </c>
      <c r="K223" s="48">
        <f t="shared" si="11"/>
        <v>1.2445206106088957E-2</v>
      </c>
    </row>
    <row r="224" spans="1:11" x14ac:dyDescent="0.35">
      <c r="A224" s="6">
        <v>2009</v>
      </c>
      <c r="B224" s="6" t="s">
        <v>74</v>
      </c>
      <c r="C224" s="6">
        <v>10</v>
      </c>
      <c r="D224" s="6">
        <v>6</v>
      </c>
      <c r="E224" s="6">
        <v>0</v>
      </c>
      <c r="F224" s="6">
        <v>341</v>
      </c>
      <c r="G224" s="6">
        <v>318</v>
      </c>
      <c r="H224" s="48">
        <f t="shared" si="9"/>
        <v>1.0723270440251573</v>
      </c>
      <c r="I224" s="48">
        <f t="shared" si="10"/>
        <v>0.54128074267189497</v>
      </c>
      <c r="J224" s="50">
        <v>0.625</v>
      </c>
      <c r="K224" s="48">
        <f t="shared" si="11"/>
        <v>8.3719257328105035E-2</v>
      </c>
    </row>
    <row r="225" spans="1:11" x14ac:dyDescent="0.35">
      <c r="A225" s="6">
        <v>2009</v>
      </c>
      <c r="B225" s="6" t="s">
        <v>64</v>
      </c>
      <c r="C225" s="6">
        <v>6</v>
      </c>
      <c r="D225" s="6">
        <v>10</v>
      </c>
      <c r="E225" s="6">
        <v>0</v>
      </c>
      <c r="F225" s="6">
        <v>356</v>
      </c>
      <c r="G225" s="6">
        <v>339</v>
      </c>
      <c r="H225" s="48">
        <f t="shared" si="9"/>
        <v>1.0501474926253687</v>
      </c>
      <c r="I225" s="48">
        <f t="shared" si="10"/>
        <v>0.52895894831372703</v>
      </c>
      <c r="J225" s="50">
        <v>0.375</v>
      </c>
      <c r="K225" s="48">
        <f t="shared" si="11"/>
        <v>0.15395894831372703</v>
      </c>
    </row>
    <row r="226" spans="1:11" x14ac:dyDescent="0.35">
      <c r="A226" s="6">
        <v>2009</v>
      </c>
      <c r="B226" s="6" t="s">
        <v>79</v>
      </c>
      <c r="C226" s="6">
        <v>6</v>
      </c>
      <c r="D226" s="6">
        <v>10</v>
      </c>
      <c r="E226" s="6">
        <v>0</v>
      </c>
      <c r="F226" s="6">
        <v>302</v>
      </c>
      <c r="G226" s="6">
        <v>377</v>
      </c>
      <c r="H226" s="48">
        <f t="shared" si="9"/>
        <v>0.80106100795755963</v>
      </c>
      <c r="I226" s="48">
        <f t="shared" si="10"/>
        <v>0.37151823576286924</v>
      </c>
      <c r="J226" s="50">
        <v>0.375</v>
      </c>
      <c r="K226" s="48">
        <f t="shared" si="11"/>
        <v>3.4817642371307578E-3</v>
      </c>
    </row>
    <row r="227" spans="1:11" x14ac:dyDescent="0.35">
      <c r="A227" s="6">
        <v>2008</v>
      </c>
      <c r="B227" s="6" t="s">
        <v>83</v>
      </c>
      <c r="C227" s="6">
        <v>9</v>
      </c>
      <c r="D227" s="6">
        <v>7</v>
      </c>
      <c r="E227" s="6">
        <v>0</v>
      </c>
      <c r="F227" s="6">
        <v>427</v>
      </c>
      <c r="G227" s="6">
        <v>426</v>
      </c>
      <c r="H227" s="48">
        <f t="shared" si="9"/>
        <v>1.0023474178403755</v>
      </c>
      <c r="I227" s="48">
        <f t="shared" si="10"/>
        <v>0.50138921159860572</v>
      </c>
      <c r="J227" s="50">
        <v>0.56299999999999994</v>
      </c>
      <c r="K227" s="48">
        <f t="shared" si="11"/>
        <v>6.1610788401394223E-2</v>
      </c>
    </row>
    <row r="228" spans="1:11" x14ac:dyDescent="0.35">
      <c r="A228" s="6">
        <v>2008</v>
      </c>
      <c r="B228" s="6" t="s">
        <v>72</v>
      </c>
      <c r="C228" s="6">
        <v>11</v>
      </c>
      <c r="D228" s="6">
        <v>5</v>
      </c>
      <c r="E228" s="6">
        <v>0</v>
      </c>
      <c r="F228" s="6">
        <v>391</v>
      </c>
      <c r="G228" s="6">
        <v>325</v>
      </c>
      <c r="H228" s="48">
        <f t="shared" si="9"/>
        <v>1.2030769230769232</v>
      </c>
      <c r="I228" s="48">
        <f t="shared" si="10"/>
        <v>0.60782318649808398</v>
      </c>
      <c r="J228" s="50">
        <v>0.68799999999999994</v>
      </c>
      <c r="K228" s="48">
        <f t="shared" si="11"/>
        <v>8.0176813501915967E-2</v>
      </c>
    </row>
    <row r="229" spans="1:11" x14ac:dyDescent="0.35">
      <c r="A229" s="6">
        <v>2008</v>
      </c>
      <c r="B229" s="6" t="s">
        <v>60</v>
      </c>
      <c r="C229" s="6">
        <v>11</v>
      </c>
      <c r="D229" s="6">
        <v>5</v>
      </c>
      <c r="E229" s="6">
        <v>0</v>
      </c>
      <c r="F229" s="6">
        <v>385</v>
      </c>
      <c r="G229" s="6">
        <v>244</v>
      </c>
      <c r="H229" s="48">
        <f t="shared" si="9"/>
        <v>1.5778688524590163</v>
      </c>
      <c r="I229" s="48">
        <f t="shared" si="10"/>
        <v>0.74666388545486462</v>
      </c>
      <c r="J229" s="50">
        <v>0.68799999999999994</v>
      </c>
      <c r="K229" s="48">
        <f t="shared" si="11"/>
        <v>5.8663885454864673E-2</v>
      </c>
    </row>
    <row r="230" spans="1:11" x14ac:dyDescent="0.35">
      <c r="A230" s="6">
        <v>2008</v>
      </c>
      <c r="B230" s="6" t="s">
        <v>58</v>
      </c>
      <c r="C230" s="6">
        <v>7</v>
      </c>
      <c r="D230" s="6">
        <v>9</v>
      </c>
      <c r="E230" s="6">
        <v>0</v>
      </c>
      <c r="F230" s="6">
        <v>336</v>
      </c>
      <c r="G230" s="6">
        <v>342</v>
      </c>
      <c r="H230" s="48">
        <f t="shared" si="9"/>
        <v>0.98245614035087714</v>
      </c>
      <c r="I230" s="48">
        <f t="shared" si="10"/>
        <v>0.48951453807190604</v>
      </c>
      <c r="J230" s="50">
        <v>0.438</v>
      </c>
      <c r="K230" s="48">
        <f t="shared" si="11"/>
        <v>5.1514538071906035E-2</v>
      </c>
    </row>
    <row r="231" spans="1:11" x14ac:dyDescent="0.35">
      <c r="A231" s="6">
        <v>2008</v>
      </c>
      <c r="B231" s="6" t="s">
        <v>84</v>
      </c>
      <c r="C231" s="6">
        <v>12</v>
      </c>
      <c r="D231" s="6">
        <v>4</v>
      </c>
      <c r="E231" s="6">
        <v>0</v>
      </c>
      <c r="F231" s="6">
        <v>414</v>
      </c>
      <c r="G231" s="6">
        <v>329</v>
      </c>
      <c r="H231" s="48">
        <f t="shared" si="9"/>
        <v>1.2583586626139818</v>
      </c>
      <c r="I231" s="48">
        <f t="shared" si="10"/>
        <v>0.63289241353455228</v>
      </c>
      <c r="J231" s="50">
        <v>0.75</v>
      </c>
      <c r="K231" s="48">
        <f t="shared" si="11"/>
        <v>0.11710758646544772</v>
      </c>
    </row>
    <row r="232" spans="1:11" x14ac:dyDescent="0.35">
      <c r="A232" s="6">
        <v>2008</v>
      </c>
      <c r="B232" s="6" t="s">
        <v>71</v>
      </c>
      <c r="C232" s="6">
        <v>9</v>
      </c>
      <c r="D232" s="6">
        <v>7</v>
      </c>
      <c r="E232" s="6">
        <v>0</v>
      </c>
      <c r="F232" s="6">
        <v>375</v>
      </c>
      <c r="G232" s="6">
        <v>350</v>
      </c>
      <c r="H232" s="48">
        <f t="shared" si="9"/>
        <v>1.0714285714285714</v>
      </c>
      <c r="I232" s="48">
        <f t="shared" si="10"/>
        <v>0.54078744058725814</v>
      </c>
      <c r="J232" s="50">
        <v>0.56299999999999994</v>
      </c>
      <c r="K232" s="48">
        <f t="shared" si="11"/>
        <v>2.2212559412741806E-2</v>
      </c>
    </row>
    <row r="233" spans="1:11" x14ac:dyDescent="0.35">
      <c r="A233" s="6">
        <v>2008</v>
      </c>
      <c r="B233" s="6" t="s">
        <v>86</v>
      </c>
      <c r="C233" s="6">
        <v>4</v>
      </c>
      <c r="D233" s="6">
        <v>11</v>
      </c>
      <c r="E233" s="6">
        <v>1</v>
      </c>
      <c r="F233" s="6">
        <v>204</v>
      </c>
      <c r="G233" s="6">
        <v>364</v>
      </c>
      <c r="H233" s="48">
        <f t="shared" si="9"/>
        <v>0.56043956043956045</v>
      </c>
      <c r="I233" s="48">
        <f t="shared" si="10"/>
        <v>0.20224684222876602</v>
      </c>
      <c r="J233" s="50">
        <v>0.28100000000000003</v>
      </c>
      <c r="K233" s="48">
        <f t="shared" si="11"/>
        <v>7.8753157771234011E-2</v>
      </c>
    </row>
    <row r="234" spans="1:11" x14ac:dyDescent="0.35">
      <c r="A234" s="6">
        <v>2008</v>
      </c>
      <c r="B234" s="6" t="s">
        <v>61</v>
      </c>
      <c r="C234" s="6">
        <v>4</v>
      </c>
      <c r="D234" s="6">
        <v>12</v>
      </c>
      <c r="E234" s="6">
        <v>0</v>
      </c>
      <c r="F234" s="6">
        <v>232</v>
      </c>
      <c r="G234" s="6">
        <v>350</v>
      </c>
      <c r="H234" s="48">
        <f t="shared" si="9"/>
        <v>0.66285714285714281</v>
      </c>
      <c r="I234" s="48">
        <f t="shared" si="10"/>
        <v>0.27397770181313919</v>
      </c>
      <c r="J234" s="50">
        <v>0.25</v>
      </c>
      <c r="K234" s="48">
        <f t="shared" si="11"/>
        <v>2.3977701813139185E-2</v>
      </c>
    </row>
    <row r="235" spans="1:11" x14ac:dyDescent="0.35">
      <c r="A235" s="6">
        <v>2008</v>
      </c>
      <c r="B235" s="6" t="s">
        <v>69</v>
      </c>
      <c r="C235" s="6">
        <v>9</v>
      </c>
      <c r="D235" s="6">
        <v>7</v>
      </c>
      <c r="E235" s="6">
        <v>0</v>
      </c>
      <c r="F235" s="6">
        <v>362</v>
      </c>
      <c r="G235" s="6">
        <v>365</v>
      </c>
      <c r="H235" s="48">
        <f t="shared" si="9"/>
        <v>0.99178082191780825</v>
      </c>
      <c r="I235" s="48">
        <f t="shared" si="10"/>
        <v>0.49511016940877844</v>
      </c>
      <c r="J235" s="50">
        <v>0.56299999999999994</v>
      </c>
      <c r="K235" s="48">
        <f t="shared" si="11"/>
        <v>6.7889830591221501E-2</v>
      </c>
    </row>
    <row r="236" spans="1:11" x14ac:dyDescent="0.35">
      <c r="A236" s="6">
        <v>2008</v>
      </c>
      <c r="B236" s="6" t="s">
        <v>87</v>
      </c>
      <c r="C236" s="6">
        <v>8</v>
      </c>
      <c r="D236" s="6">
        <v>8</v>
      </c>
      <c r="E236" s="6">
        <v>0</v>
      </c>
      <c r="F236" s="6">
        <v>370</v>
      </c>
      <c r="G236" s="6">
        <v>448</v>
      </c>
      <c r="H236" s="48">
        <f t="shared" si="9"/>
        <v>0.8258928571428571</v>
      </c>
      <c r="I236" s="48">
        <f t="shared" si="10"/>
        <v>0.38856270734403581</v>
      </c>
      <c r="J236" s="50">
        <v>0.5</v>
      </c>
      <c r="K236" s="48">
        <f t="shared" si="11"/>
        <v>0.11143729265596419</v>
      </c>
    </row>
    <row r="237" spans="1:11" x14ac:dyDescent="0.35">
      <c r="A237" s="6">
        <v>2008</v>
      </c>
      <c r="B237" s="6" t="s">
        <v>70</v>
      </c>
      <c r="C237" s="6">
        <v>0</v>
      </c>
      <c r="D237" s="6">
        <v>16</v>
      </c>
      <c r="E237" s="6">
        <v>0</v>
      </c>
      <c r="F237" s="6">
        <v>268</v>
      </c>
      <c r="G237" s="6">
        <v>517</v>
      </c>
      <c r="H237" s="48">
        <f t="shared" si="9"/>
        <v>0.51837524177949712</v>
      </c>
      <c r="I237" s="48">
        <f t="shared" si="10"/>
        <v>0.17404556601169363</v>
      </c>
      <c r="J237" s="50">
        <v>0</v>
      </c>
      <c r="K237" s="48">
        <f t="shared" si="11"/>
        <v>0.17404556601169363</v>
      </c>
    </row>
    <row r="238" spans="1:11" x14ac:dyDescent="0.35">
      <c r="A238" s="6">
        <v>2008</v>
      </c>
      <c r="B238" s="6" t="s">
        <v>89</v>
      </c>
      <c r="C238" s="6">
        <v>6</v>
      </c>
      <c r="D238" s="6">
        <v>10</v>
      </c>
      <c r="E238" s="6">
        <v>0</v>
      </c>
      <c r="F238" s="6">
        <v>419</v>
      </c>
      <c r="G238" s="6">
        <v>380</v>
      </c>
      <c r="H238" s="48">
        <f t="shared" si="9"/>
        <v>1.1026315789473684</v>
      </c>
      <c r="I238" s="48">
        <f t="shared" si="10"/>
        <v>0.55762979950793401</v>
      </c>
      <c r="J238" s="50">
        <v>0.375</v>
      </c>
      <c r="K238" s="48">
        <f t="shared" si="11"/>
        <v>0.18262979950793401</v>
      </c>
    </row>
    <row r="239" spans="1:11" x14ac:dyDescent="0.35">
      <c r="A239" s="6">
        <v>2008</v>
      </c>
      <c r="B239" s="6" t="s">
        <v>77</v>
      </c>
      <c r="C239" s="6">
        <v>8</v>
      </c>
      <c r="D239" s="6">
        <v>8</v>
      </c>
      <c r="E239" s="6">
        <v>0</v>
      </c>
      <c r="F239" s="6">
        <v>366</v>
      </c>
      <c r="G239" s="6">
        <v>394</v>
      </c>
      <c r="H239" s="48">
        <f t="shared" si="9"/>
        <v>0.92893401015228427</v>
      </c>
      <c r="I239" s="48">
        <f t="shared" si="10"/>
        <v>0.45643309894006656</v>
      </c>
      <c r="J239" s="50">
        <v>0.5</v>
      </c>
      <c r="K239" s="48">
        <f t="shared" si="11"/>
        <v>4.3566901059933438E-2</v>
      </c>
    </row>
    <row r="240" spans="1:11" x14ac:dyDescent="0.35">
      <c r="A240" s="6">
        <v>2008</v>
      </c>
      <c r="B240" s="6" t="s">
        <v>62</v>
      </c>
      <c r="C240" s="6">
        <v>12</v>
      </c>
      <c r="D240" s="6">
        <v>4</v>
      </c>
      <c r="E240" s="6">
        <v>0</v>
      </c>
      <c r="F240" s="6">
        <v>377</v>
      </c>
      <c r="G240" s="6">
        <v>298</v>
      </c>
      <c r="H240" s="48">
        <f t="shared" si="9"/>
        <v>1.2651006711409396</v>
      </c>
      <c r="I240" s="48">
        <f t="shared" si="10"/>
        <v>0.6358297894742897</v>
      </c>
      <c r="J240" s="50">
        <v>0.75</v>
      </c>
      <c r="K240" s="48">
        <f t="shared" si="11"/>
        <v>0.1141702105257103</v>
      </c>
    </row>
    <row r="241" spans="1:11" x14ac:dyDescent="0.35">
      <c r="A241" s="6">
        <v>2008</v>
      </c>
      <c r="B241" s="6" t="s">
        <v>63</v>
      </c>
      <c r="C241" s="6">
        <v>5</v>
      </c>
      <c r="D241" s="6">
        <v>11</v>
      </c>
      <c r="E241" s="6">
        <v>0</v>
      </c>
      <c r="F241" s="6">
        <v>302</v>
      </c>
      <c r="G241" s="6">
        <v>367</v>
      </c>
      <c r="H241" s="48">
        <f t="shared" si="9"/>
        <v>0.82288828337874664</v>
      </c>
      <c r="I241" s="48">
        <f t="shared" si="10"/>
        <v>0.38651253113472989</v>
      </c>
      <c r="J241" s="50">
        <v>0.313</v>
      </c>
      <c r="K241" s="48">
        <f t="shared" si="11"/>
        <v>7.3512531134729886E-2</v>
      </c>
    </row>
    <row r="242" spans="1:11" x14ac:dyDescent="0.35">
      <c r="A242" s="6">
        <v>2008</v>
      </c>
      <c r="B242" s="6" t="s">
        <v>78</v>
      </c>
      <c r="C242" s="6">
        <v>2</v>
      </c>
      <c r="D242" s="6">
        <v>14</v>
      </c>
      <c r="E242" s="6">
        <v>0</v>
      </c>
      <c r="F242" s="6">
        <v>291</v>
      </c>
      <c r="G242" s="6">
        <v>440</v>
      </c>
      <c r="H242" s="48">
        <f t="shared" si="9"/>
        <v>0.66136363636363638</v>
      </c>
      <c r="I242" s="48">
        <f t="shared" si="10"/>
        <v>0.2729156029502503</v>
      </c>
      <c r="J242" s="50">
        <v>0.125</v>
      </c>
      <c r="K242" s="48">
        <f t="shared" si="11"/>
        <v>0.1479156029502503</v>
      </c>
    </row>
    <row r="243" spans="1:11" x14ac:dyDescent="0.35">
      <c r="A243" s="6">
        <v>2008</v>
      </c>
      <c r="B243" s="6" t="s">
        <v>59</v>
      </c>
      <c r="C243" s="6">
        <v>11</v>
      </c>
      <c r="D243" s="6">
        <v>5</v>
      </c>
      <c r="E243" s="6">
        <v>0</v>
      </c>
      <c r="F243" s="6">
        <v>345</v>
      </c>
      <c r="G243" s="6">
        <v>317</v>
      </c>
      <c r="H243" s="48">
        <f t="shared" si="9"/>
        <v>1.0883280757097791</v>
      </c>
      <c r="I243" s="48">
        <f t="shared" si="10"/>
        <v>0.54998326122462471</v>
      </c>
      <c r="J243" s="50">
        <v>0.68799999999999994</v>
      </c>
      <c r="K243" s="48">
        <f t="shared" si="11"/>
        <v>0.13801673877537524</v>
      </c>
    </row>
    <row r="244" spans="1:11" x14ac:dyDescent="0.35">
      <c r="A244" s="6">
        <v>2008</v>
      </c>
      <c r="B244" s="6" t="s">
        <v>80</v>
      </c>
      <c r="C244" s="6">
        <v>10</v>
      </c>
      <c r="D244" s="6">
        <v>6</v>
      </c>
      <c r="E244" s="6">
        <v>0</v>
      </c>
      <c r="F244" s="6">
        <v>379</v>
      </c>
      <c r="G244" s="6">
        <v>333</v>
      </c>
      <c r="H244" s="48">
        <f t="shared" si="9"/>
        <v>1.1381381381381381</v>
      </c>
      <c r="I244" s="48">
        <f t="shared" si="10"/>
        <v>0.57607055459981205</v>
      </c>
      <c r="J244" s="50">
        <v>0.625</v>
      </c>
      <c r="K244" s="48">
        <f t="shared" si="11"/>
        <v>4.8929445400187954E-2</v>
      </c>
    </row>
    <row r="245" spans="1:11" x14ac:dyDescent="0.35">
      <c r="A245" s="6">
        <v>2008</v>
      </c>
      <c r="B245" s="6" t="s">
        <v>88</v>
      </c>
      <c r="C245" s="6">
        <v>11</v>
      </c>
      <c r="D245" s="6">
        <v>5</v>
      </c>
      <c r="E245" s="6">
        <v>0</v>
      </c>
      <c r="F245" s="6">
        <v>410</v>
      </c>
      <c r="G245" s="6">
        <v>309</v>
      </c>
      <c r="H245" s="48">
        <f t="shared" si="9"/>
        <v>1.3268608414239482</v>
      </c>
      <c r="I245" s="48">
        <f t="shared" si="10"/>
        <v>0.66156442956966155</v>
      </c>
      <c r="J245" s="50">
        <v>0.68799999999999994</v>
      </c>
      <c r="K245" s="48">
        <f t="shared" si="11"/>
        <v>2.6435570430338395E-2</v>
      </c>
    </row>
    <row r="246" spans="1:11" x14ac:dyDescent="0.35">
      <c r="A246" s="6">
        <v>2008</v>
      </c>
      <c r="B246" s="6" t="s">
        <v>73</v>
      </c>
      <c r="C246" s="6">
        <v>8</v>
      </c>
      <c r="D246" s="6">
        <v>8</v>
      </c>
      <c r="E246" s="6">
        <v>0</v>
      </c>
      <c r="F246" s="6">
        <v>463</v>
      </c>
      <c r="G246" s="6">
        <v>393</v>
      </c>
      <c r="H246" s="48">
        <f t="shared" si="9"/>
        <v>1.1781170483460559</v>
      </c>
      <c r="I246" s="48">
        <f t="shared" si="10"/>
        <v>0.59591778135611229</v>
      </c>
      <c r="J246" s="50">
        <v>0.5</v>
      </c>
      <c r="K246" s="48">
        <f t="shared" si="11"/>
        <v>9.5917781356112286E-2</v>
      </c>
    </row>
    <row r="247" spans="1:11" x14ac:dyDescent="0.35">
      <c r="A247" s="6">
        <v>2008</v>
      </c>
      <c r="B247" s="6" t="s">
        <v>68</v>
      </c>
      <c r="C247" s="6">
        <v>12</v>
      </c>
      <c r="D247" s="6">
        <v>4</v>
      </c>
      <c r="E247" s="6">
        <v>0</v>
      </c>
      <c r="F247" s="6">
        <v>427</v>
      </c>
      <c r="G247" s="6">
        <v>294</v>
      </c>
      <c r="H247" s="48">
        <f t="shared" si="9"/>
        <v>1.4523809523809523</v>
      </c>
      <c r="I247" s="48">
        <f t="shared" si="10"/>
        <v>0.70775263495167318</v>
      </c>
      <c r="J247" s="50">
        <v>0.75</v>
      </c>
      <c r="K247" s="48">
        <f t="shared" si="11"/>
        <v>4.2247365048326824E-2</v>
      </c>
    </row>
    <row r="248" spans="1:11" x14ac:dyDescent="0.35">
      <c r="A248" s="6">
        <v>2008</v>
      </c>
      <c r="B248" s="6" t="s">
        <v>57</v>
      </c>
      <c r="C248" s="6">
        <v>9</v>
      </c>
      <c r="D248" s="6">
        <v>7</v>
      </c>
      <c r="E248" s="6">
        <v>0</v>
      </c>
      <c r="F248" s="6">
        <v>405</v>
      </c>
      <c r="G248" s="6">
        <v>356</v>
      </c>
      <c r="H248" s="48">
        <f t="shared" si="9"/>
        <v>1.1376404494382022</v>
      </c>
      <c r="I248" s="48">
        <f t="shared" si="10"/>
        <v>0.57581738614542188</v>
      </c>
      <c r="J248" s="50">
        <v>0.56299999999999994</v>
      </c>
      <c r="K248" s="48">
        <f t="shared" si="11"/>
        <v>1.2817386145421938E-2</v>
      </c>
    </row>
    <row r="249" spans="1:11" x14ac:dyDescent="0.35">
      <c r="A249" s="6">
        <v>2008</v>
      </c>
      <c r="B249" s="6" t="s">
        <v>65</v>
      </c>
      <c r="C249" s="6">
        <v>5</v>
      </c>
      <c r="D249" s="6">
        <v>11</v>
      </c>
      <c r="E249" s="6">
        <v>0</v>
      </c>
      <c r="F249" s="6">
        <v>263</v>
      </c>
      <c r="G249" s="6">
        <v>388</v>
      </c>
      <c r="H249" s="48">
        <f t="shared" si="9"/>
        <v>0.67783505154639179</v>
      </c>
      <c r="I249" s="48">
        <f t="shared" si="10"/>
        <v>0.28463655678132554</v>
      </c>
      <c r="J249" s="50">
        <v>0.313</v>
      </c>
      <c r="K249" s="48">
        <f t="shared" si="11"/>
        <v>2.8363443218674456E-2</v>
      </c>
    </row>
    <row r="250" spans="1:11" x14ac:dyDescent="0.35">
      <c r="A250" s="6">
        <v>2008</v>
      </c>
      <c r="B250" s="6" t="s">
        <v>67</v>
      </c>
      <c r="C250" s="6">
        <v>9</v>
      </c>
      <c r="D250" s="6">
        <v>6</v>
      </c>
      <c r="E250" s="6">
        <v>1</v>
      </c>
      <c r="F250" s="6">
        <v>416</v>
      </c>
      <c r="G250" s="6">
        <v>289</v>
      </c>
      <c r="H250" s="48">
        <f t="shared" si="9"/>
        <v>1.439446366782007</v>
      </c>
      <c r="I250" s="48">
        <f t="shared" si="10"/>
        <v>0.70334815856559019</v>
      </c>
      <c r="J250" s="50">
        <v>0.59399999999999997</v>
      </c>
      <c r="K250" s="48">
        <f t="shared" si="11"/>
        <v>0.10934815856559021</v>
      </c>
    </row>
    <row r="251" spans="1:11" x14ac:dyDescent="0.35">
      <c r="A251" s="6">
        <v>2008</v>
      </c>
      <c r="B251" s="6" t="s">
        <v>82</v>
      </c>
      <c r="C251" s="6">
        <v>12</v>
      </c>
      <c r="D251" s="6">
        <v>4</v>
      </c>
      <c r="E251" s="6">
        <v>0</v>
      </c>
      <c r="F251" s="6">
        <v>347</v>
      </c>
      <c r="G251" s="6">
        <v>223</v>
      </c>
      <c r="H251" s="48">
        <f t="shared" si="9"/>
        <v>1.5560538116591929</v>
      </c>
      <c r="I251" s="48">
        <f t="shared" si="10"/>
        <v>0.74037194325289135</v>
      </c>
      <c r="J251" s="50">
        <v>0.75</v>
      </c>
      <c r="K251" s="48">
        <f t="shared" si="11"/>
        <v>9.6280567471086487E-3</v>
      </c>
    </row>
    <row r="252" spans="1:11" x14ac:dyDescent="0.35">
      <c r="A252" s="6">
        <v>2008</v>
      </c>
      <c r="B252" s="6" t="s">
        <v>66</v>
      </c>
      <c r="C252" s="6">
        <v>8</v>
      </c>
      <c r="D252" s="6">
        <v>8</v>
      </c>
      <c r="E252" s="6">
        <v>0</v>
      </c>
      <c r="F252" s="6">
        <v>439</v>
      </c>
      <c r="G252" s="6">
        <v>347</v>
      </c>
      <c r="H252" s="48">
        <f t="shared" si="9"/>
        <v>1.2651296829971181</v>
      </c>
      <c r="I252" s="48">
        <f t="shared" si="10"/>
        <v>0.63584237397177845</v>
      </c>
      <c r="J252" s="50">
        <v>0.5</v>
      </c>
      <c r="K252" s="48">
        <f t="shared" si="11"/>
        <v>0.13584237397177845</v>
      </c>
    </row>
    <row r="253" spans="1:11" x14ac:dyDescent="0.35">
      <c r="A253" s="6">
        <v>2008</v>
      </c>
      <c r="B253" s="6" t="s">
        <v>76</v>
      </c>
      <c r="C253" s="6">
        <v>7</v>
      </c>
      <c r="D253" s="6">
        <v>9</v>
      </c>
      <c r="E253" s="6">
        <v>0</v>
      </c>
      <c r="F253" s="6">
        <v>339</v>
      </c>
      <c r="G253" s="6">
        <v>381</v>
      </c>
      <c r="H253" s="48">
        <f t="shared" si="9"/>
        <v>0.88976377952755903</v>
      </c>
      <c r="I253" s="48">
        <f t="shared" si="10"/>
        <v>0.43123497396522775</v>
      </c>
      <c r="J253" s="50">
        <v>0.438</v>
      </c>
      <c r="K253" s="48">
        <f t="shared" si="11"/>
        <v>6.765026034772248E-3</v>
      </c>
    </row>
    <row r="254" spans="1:11" x14ac:dyDescent="0.35">
      <c r="A254" s="6">
        <v>2008</v>
      </c>
      <c r="B254" s="6" t="s">
        <v>85</v>
      </c>
      <c r="C254" s="6">
        <v>4</v>
      </c>
      <c r="D254" s="6">
        <v>12</v>
      </c>
      <c r="E254" s="6">
        <v>0</v>
      </c>
      <c r="F254" s="6">
        <v>294</v>
      </c>
      <c r="G254" s="6">
        <v>392</v>
      </c>
      <c r="H254" s="48">
        <f t="shared" si="9"/>
        <v>0.75</v>
      </c>
      <c r="I254" s="48">
        <f t="shared" si="10"/>
        <v>0.33585822723677966</v>
      </c>
      <c r="J254" s="50">
        <v>0.25</v>
      </c>
      <c r="K254" s="48">
        <f t="shared" si="11"/>
        <v>8.5858227236779661E-2</v>
      </c>
    </row>
    <row r="255" spans="1:11" x14ac:dyDescent="0.35">
      <c r="A255" s="6">
        <v>2008</v>
      </c>
      <c r="B255" s="6" t="s">
        <v>75</v>
      </c>
      <c r="C255" s="6">
        <v>2</v>
      </c>
      <c r="D255" s="6">
        <v>14</v>
      </c>
      <c r="E255" s="6">
        <v>0</v>
      </c>
      <c r="F255" s="6">
        <v>232</v>
      </c>
      <c r="G255" s="6">
        <v>465</v>
      </c>
      <c r="H255" s="48">
        <f t="shared" si="9"/>
        <v>0.49892473118279568</v>
      </c>
      <c r="I255" s="48">
        <f t="shared" si="10"/>
        <v>0.16139824025527574</v>
      </c>
      <c r="J255" s="50">
        <v>0.125</v>
      </c>
      <c r="K255" s="48">
        <f t="shared" si="11"/>
        <v>3.6398240255275743E-2</v>
      </c>
    </row>
    <row r="256" spans="1:11" x14ac:dyDescent="0.35">
      <c r="A256" s="6">
        <v>2008</v>
      </c>
      <c r="B256" s="6" t="s">
        <v>74</v>
      </c>
      <c r="C256" s="6">
        <v>9</v>
      </c>
      <c r="D256" s="6">
        <v>7</v>
      </c>
      <c r="E256" s="6">
        <v>0</v>
      </c>
      <c r="F256" s="6">
        <v>361</v>
      </c>
      <c r="G256" s="6">
        <v>323</v>
      </c>
      <c r="H256" s="48">
        <f t="shared" si="9"/>
        <v>1.1176470588235294</v>
      </c>
      <c r="I256" s="48">
        <f t="shared" si="10"/>
        <v>0.5655222131012686</v>
      </c>
      <c r="J256" s="50">
        <v>0.56299999999999994</v>
      </c>
      <c r="K256" s="48">
        <f t="shared" si="11"/>
        <v>2.5222131012686555E-3</v>
      </c>
    </row>
    <row r="257" spans="1:11" x14ac:dyDescent="0.35">
      <c r="A257" s="6">
        <v>2008</v>
      </c>
      <c r="B257" s="6" t="s">
        <v>64</v>
      </c>
      <c r="C257" s="6">
        <v>13</v>
      </c>
      <c r="D257" s="6">
        <v>3</v>
      </c>
      <c r="E257" s="6">
        <v>0</v>
      </c>
      <c r="F257" s="6">
        <v>375</v>
      </c>
      <c r="G257" s="6">
        <v>234</v>
      </c>
      <c r="H257" s="48">
        <f t="shared" si="9"/>
        <v>1.6025641025641026</v>
      </c>
      <c r="I257" s="48">
        <f t="shared" si="10"/>
        <v>0.75356251651157813</v>
      </c>
      <c r="J257" s="50">
        <v>0.81299999999999994</v>
      </c>
      <c r="K257" s="48">
        <f t="shared" si="11"/>
        <v>5.9437483488421816E-2</v>
      </c>
    </row>
    <row r="258" spans="1:11" x14ac:dyDescent="0.35">
      <c r="A258" s="6">
        <v>2008</v>
      </c>
      <c r="B258" s="6" t="s">
        <v>79</v>
      </c>
      <c r="C258" s="6">
        <v>8</v>
      </c>
      <c r="D258" s="6">
        <v>8</v>
      </c>
      <c r="E258" s="6">
        <v>0</v>
      </c>
      <c r="F258" s="6">
        <v>265</v>
      </c>
      <c r="G258" s="6">
        <v>296</v>
      </c>
      <c r="H258" s="48">
        <f t="shared" si="9"/>
        <v>0.89527027027027029</v>
      </c>
      <c r="I258" s="48">
        <f t="shared" si="10"/>
        <v>0.43482488873494629</v>
      </c>
      <c r="J258" s="50">
        <v>0.5</v>
      </c>
      <c r="K258" s="48">
        <f t="shared" si="11"/>
        <v>6.5175111265053709E-2</v>
      </c>
    </row>
  </sheetData>
  <sortState xmlns:xlrd2="http://schemas.microsoft.com/office/spreadsheetml/2017/richdata2" ref="A3:K258">
    <sortCondition descending="1" ref="A3:A258"/>
    <sortCondition ref="B3:B258"/>
  </sortState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5"/>
  <dimension ref="A1:M242"/>
  <sheetViews>
    <sheetView tabSelected="1" workbookViewId="0">
      <pane ySplit="2" topLeftCell="A3" activePane="bottomLeft" state="frozen"/>
      <selection pane="bottomLeft" activeCell="O18" sqref="O18"/>
    </sheetView>
  </sheetViews>
  <sheetFormatPr defaultColWidth="9.08984375" defaultRowHeight="14.5" x14ac:dyDescent="0.35"/>
  <cols>
    <col min="1" max="1" width="7.36328125" style="30" bestFit="1" customWidth="1"/>
    <col min="2" max="2" width="20.6328125" style="30" bestFit="1" customWidth="1"/>
    <col min="3" max="3" width="4.81640625" style="30" bestFit="1" customWidth="1"/>
    <col min="4" max="4" width="6" style="30" bestFit="1" customWidth="1"/>
    <col min="5" max="5" width="5.81640625" style="30" bestFit="1" customWidth="1"/>
    <col min="6" max="6" width="9.7265625" style="30" bestFit="1" customWidth="1"/>
    <col min="7" max="7" width="6.26953125" style="30" customWidth="1"/>
    <col min="8" max="8" width="9.453125" style="30" bestFit="1" customWidth="1"/>
    <col min="9" max="9" width="8.36328125" style="30" bestFit="1" customWidth="1"/>
    <col min="10" max="10" width="7.7265625" style="30" customWidth="1"/>
    <col min="11" max="16384" width="9.08984375" style="30"/>
  </cols>
  <sheetData>
    <row r="1" spans="1:13" x14ac:dyDescent="0.35">
      <c r="A1" s="19"/>
      <c r="B1" s="20"/>
      <c r="C1" s="20"/>
      <c r="D1" s="20"/>
      <c r="E1" s="20"/>
      <c r="F1" s="20"/>
      <c r="G1" s="20" t="s">
        <v>41</v>
      </c>
      <c r="H1" s="20">
        <v>13.91</v>
      </c>
      <c r="I1" s="20" t="s">
        <v>42</v>
      </c>
      <c r="J1" s="20">
        <f>AVERAGE(J3:J242)</f>
        <v>2.8652797163369225E-2</v>
      </c>
      <c r="K1" s="20"/>
      <c r="L1" s="20"/>
      <c r="M1" s="21"/>
    </row>
    <row r="2" spans="1:13" x14ac:dyDescent="0.35">
      <c r="A2" s="22" t="s">
        <v>45</v>
      </c>
      <c r="B2" s="7" t="s">
        <v>35</v>
      </c>
      <c r="C2" s="7" t="s">
        <v>36</v>
      </c>
      <c r="D2" s="7" t="s">
        <v>37</v>
      </c>
      <c r="E2" s="7" t="s">
        <v>53</v>
      </c>
      <c r="F2" s="7" t="s">
        <v>54</v>
      </c>
      <c r="G2" s="7" t="s">
        <v>30</v>
      </c>
      <c r="H2" s="7" t="s">
        <v>31</v>
      </c>
      <c r="I2" s="7" t="s">
        <v>32</v>
      </c>
      <c r="J2" s="7" t="s">
        <v>33</v>
      </c>
      <c r="K2" s="6"/>
      <c r="L2" s="6"/>
      <c r="M2" s="23"/>
    </row>
    <row r="3" spans="1:13" x14ac:dyDescent="0.35">
      <c r="A3" s="24" t="s">
        <v>104</v>
      </c>
      <c r="B3" s="6" t="s">
        <v>122</v>
      </c>
      <c r="C3" s="6">
        <v>48</v>
      </c>
      <c r="D3" s="6">
        <v>34</v>
      </c>
      <c r="E3" s="32">
        <v>8433</v>
      </c>
      <c r="F3" s="32">
        <v>8137</v>
      </c>
      <c r="G3" s="50">
        <f>E3/F3</f>
        <v>1.0363770431362911</v>
      </c>
      <c r="H3" s="50">
        <f>((G3^$H$1)/((G3^$H$1)+1))</f>
        <v>0.62175840579338504</v>
      </c>
      <c r="I3" s="50">
        <v>0.58499999999999996</v>
      </c>
      <c r="J3" s="51">
        <f t="shared" ref="J3:J67" si="0">ABS(H3-I3)</f>
        <v>3.6758405793385074E-2</v>
      </c>
      <c r="K3" s="6"/>
      <c r="L3" s="32"/>
      <c r="M3" s="23"/>
    </row>
    <row r="4" spans="1:13" x14ac:dyDescent="0.35">
      <c r="A4" s="24" t="s">
        <v>104</v>
      </c>
      <c r="B4" s="6" t="s">
        <v>111</v>
      </c>
      <c r="C4" s="6">
        <v>48</v>
      </c>
      <c r="D4" s="6">
        <v>34</v>
      </c>
      <c r="E4" s="32">
        <v>8669</v>
      </c>
      <c r="F4" s="32">
        <v>8406</v>
      </c>
      <c r="G4" s="50">
        <f t="shared" ref="G4:G67" si="1">E4/F4</f>
        <v>1.0312871758267903</v>
      </c>
      <c r="H4" s="50">
        <f t="shared" ref="H4:H67" si="2">((G4^$H$1)/((G4^$H$1)+1))</f>
        <v>0.60552383557858969</v>
      </c>
      <c r="I4" s="50">
        <v>0.58499999999999996</v>
      </c>
      <c r="J4" s="51">
        <f t="shared" si="0"/>
        <v>2.0523835578589722E-2</v>
      </c>
      <c r="K4" s="6"/>
      <c r="L4" s="32"/>
      <c r="M4" s="23"/>
    </row>
    <row r="5" spans="1:13" x14ac:dyDescent="0.35">
      <c r="A5" s="24" t="s">
        <v>104</v>
      </c>
      <c r="B5" s="6" t="s">
        <v>90</v>
      </c>
      <c r="C5" s="6">
        <v>21</v>
      </c>
      <c r="D5" s="6">
        <v>61</v>
      </c>
      <c r="E5" s="32">
        <v>8089</v>
      </c>
      <c r="F5" s="32">
        <v>8692</v>
      </c>
      <c r="G5" s="50">
        <f t="shared" si="1"/>
        <v>0.93062586286240223</v>
      </c>
      <c r="H5" s="50">
        <f t="shared" si="2"/>
        <v>0.26892166986634269</v>
      </c>
      <c r="I5" s="50">
        <v>0.25600000000000001</v>
      </c>
      <c r="J5" s="51">
        <f t="shared" si="0"/>
        <v>1.2921669866342689E-2</v>
      </c>
      <c r="K5" s="6"/>
      <c r="L5" s="32" t="s">
        <v>41</v>
      </c>
      <c r="M5" s="23">
        <f>J1</f>
        <v>2.8652797163369225E-2</v>
      </c>
    </row>
    <row r="6" spans="1:13" x14ac:dyDescent="0.35">
      <c r="A6" s="24" t="s">
        <v>104</v>
      </c>
      <c r="B6" s="6" t="s">
        <v>106</v>
      </c>
      <c r="C6" s="6">
        <v>48</v>
      </c>
      <c r="D6" s="6">
        <v>34</v>
      </c>
      <c r="E6" s="32">
        <v>8479</v>
      </c>
      <c r="F6" s="32">
        <v>8256</v>
      </c>
      <c r="G6" s="50">
        <f t="shared" si="1"/>
        <v>1.0270106589147288</v>
      </c>
      <c r="H6" s="50">
        <f t="shared" si="2"/>
        <v>0.59163623650840547</v>
      </c>
      <c r="I6" s="50">
        <v>0.58499999999999996</v>
      </c>
      <c r="J6" s="51">
        <f t="shared" si="0"/>
        <v>6.6362365084055019E-3</v>
      </c>
      <c r="K6" s="6"/>
      <c r="L6" s="33">
        <v>12</v>
      </c>
      <c r="M6" s="23">
        <f t="dataTable" ref="M6:M26" dt2D="0" dtr="0" r1="H1"/>
        <v>3.4028586683642857E-2</v>
      </c>
    </row>
    <row r="7" spans="1:13" x14ac:dyDescent="0.35">
      <c r="A7" s="24" t="s">
        <v>104</v>
      </c>
      <c r="B7" s="6" t="s">
        <v>91</v>
      </c>
      <c r="C7" s="6">
        <v>42</v>
      </c>
      <c r="D7" s="6">
        <v>40</v>
      </c>
      <c r="E7" s="32">
        <v>8335</v>
      </c>
      <c r="F7" s="32">
        <v>8456</v>
      </c>
      <c r="G7" s="50">
        <f t="shared" si="1"/>
        <v>0.98569063386944178</v>
      </c>
      <c r="H7" s="50">
        <f t="shared" si="2"/>
        <v>0.45004692353963782</v>
      </c>
      <c r="I7" s="50">
        <v>0.51200000000000001</v>
      </c>
      <c r="J7" s="51">
        <f t="shared" si="0"/>
        <v>6.1953076460362189E-2</v>
      </c>
      <c r="K7" s="6"/>
      <c r="L7" s="33">
        <v>12.200000000000001</v>
      </c>
      <c r="M7" s="23">
        <v>3.321348113968154E-2</v>
      </c>
    </row>
    <row r="8" spans="1:13" x14ac:dyDescent="0.35">
      <c r="A8" s="24" t="s">
        <v>104</v>
      </c>
      <c r="B8" s="6" t="s">
        <v>112</v>
      </c>
      <c r="C8" s="6">
        <v>57</v>
      </c>
      <c r="D8" s="6">
        <v>25</v>
      </c>
      <c r="E8" s="32">
        <v>8555</v>
      </c>
      <c r="F8" s="32">
        <v>8063</v>
      </c>
      <c r="G8" s="50">
        <f t="shared" si="1"/>
        <v>1.0610194716606722</v>
      </c>
      <c r="H8" s="50">
        <f t="shared" si="2"/>
        <v>0.69506193026097773</v>
      </c>
      <c r="I8" s="50">
        <v>0.69499999999999995</v>
      </c>
      <c r="J8" s="51">
        <f t="shared" si="0"/>
        <v>6.1930260977782758E-5</v>
      </c>
      <c r="K8" s="6"/>
      <c r="L8" s="33">
        <v>12.4</v>
      </c>
      <c r="M8" s="23">
        <v>3.242820413098934E-2</v>
      </c>
    </row>
    <row r="9" spans="1:13" x14ac:dyDescent="0.35">
      <c r="A9" s="24" t="s">
        <v>104</v>
      </c>
      <c r="B9" s="6" t="s">
        <v>113</v>
      </c>
      <c r="C9" s="6">
        <v>42</v>
      </c>
      <c r="D9" s="6">
        <v>40</v>
      </c>
      <c r="E9" s="32">
        <v>8388</v>
      </c>
      <c r="F9" s="32">
        <v>8413</v>
      </c>
      <c r="G9" s="50">
        <f t="shared" si="1"/>
        <v>0.99702840841554741</v>
      </c>
      <c r="H9" s="50">
        <f t="shared" si="2"/>
        <v>0.48965238364699681</v>
      </c>
      <c r="I9" s="50">
        <v>0.51200000000000001</v>
      </c>
      <c r="J9" s="51">
        <f t="shared" si="0"/>
        <v>2.2347616353003197E-2</v>
      </c>
      <c r="K9" s="6"/>
      <c r="L9" s="33">
        <v>12.600000000000001</v>
      </c>
      <c r="M9" s="23">
        <v>3.1719892512350918E-2</v>
      </c>
    </row>
    <row r="10" spans="1:13" x14ac:dyDescent="0.35">
      <c r="A10" s="24" t="s">
        <v>104</v>
      </c>
      <c r="B10" s="6" t="s">
        <v>92</v>
      </c>
      <c r="C10" s="6">
        <v>33</v>
      </c>
      <c r="D10" s="6">
        <v>49</v>
      </c>
      <c r="E10" s="32">
        <v>8355</v>
      </c>
      <c r="F10" s="32">
        <v>8609</v>
      </c>
      <c r="G10" s="50">
        <f t="shared" si="1"/>
        <v>0.97049599256591934</v>
      </c>
      <c r="H10" s="50">
        <f t="shared" si="2"/>
        <v>0.39733619129499753</v>
      </c>
      <c r="I10" s="50">
        <v>0.40200000000000002</v>
      </c>
      <c r="J10" s="51">
        <f t="shared" si="0"/>
        <v>4.6638087050024923E-3</v>
      </c>
      <c r="K10" s="6"/>
      <c r="L10" s="33">
        <v>12.8</v>
      </c>
      <c r="M10" s="23">
        <v>3.1044549879678397E-2</v>
      </c>
    </row>
    <row r="11" spans="1:13" x14ac:dyDescent="0.35">
      <c r="A11" s="24" t="s">
        <v>104</v>
      </c>
      <c r="B11" s="6" t="s">
        <v>107</v>
      </c>
      <c r="C11" s="6">
        <v>44</v>
      </c>
      <c r="D11" s="6">
        <v>38</v>
      </c>
      <c r="E11" s="32">
        <v>8361</v>
      </c>
      <c r="F11" s="32">
        <v>8311</v>
      </c>
      <c r="G11" s="50">
        <f t="shared" si="1"/>
        <v>1.0060161232102034</v>
      </c>
      <c r="H11" s="50">
        <f t="shared" si="2"/>
        <v>0.5208462964112095</v>
      </c>
      <c r="I11" s="50">
        <v>0.53700000000000003</v>
      </c>
      <c r="J11" s="51">
        <f t="shared" si="0"/>
        <v>1.6153703588790536E-2</v>
      </c>
      <c r="K11" s="6"/>
      <c r="L11" s="33">
        <v>13</v>
      </c>
      <c r="M11" s="23">
        <v>3.0450889378648281E-2</v>
      </c>
    </row>
    <row r="12" spans="1:13" x14ac:dyDescent="0.35">
      <c r="A12" s="24" t="s">
        <v>104</v>
      </c>
      <c r="B12" s="6" t="s">
        <v>116</v>
      </c>
      <c r="C12" s="6">
        <v>73</v>
      </c>
      <c r="D12" s="6">
        <v>9</v>
      </c>
      <c r="E12" s="32">
        <v>9421</v>
      </c>
      <c r="F12" s="32">
        <v>8539</v>
      </c>
      <c r="G12" s="50">
        <f t="shared" si="1"/>
        <v>1.1032907834641059</v>
      </c>
      <c r="H12" s="50">
        <f t="shared" si="2"/>
        <v>0.79694615582178951</v>
      </c>
      <c r="I12" s="50">
        <v>0.89</v>
      </c>
      <c r="J12" s="51">
        <f t="shared" si="0"/>
        <v>9.3053844178210499E-2</v>
      </c>
      <c r="K12" s="6"/>
      <c r="L12" s="33">
        <v>13.200000000000001</v>
      </c>
      <c r="M12" s="23">
        <v>2.9896445002551165E-2</v>
      </c>
    </row>
    <row r="13" spans="1:13" x14ac:dyDescent="0.35">
      <c r="A13" s="24" t="s">
        <v>104</v>
      </c>
      <c r="B13" s="6" t="s">
        <v>117</v>
      </c>
      <c r="C13" s="6">
        <v>41</v>
      </c>
      <c r="D13" s="6">
        <v>41</v>
      </c>
      <c r="E13" s="32">
        <v>8737</v>
      </c>
      <c r="F13" s="32">
        <v>8721</v>
      </c>
      <c r="G13" s="50">
        <f t="shared" si="1"/>
        <v>1.0018346519894508</v>
      </c>
      <c r="H13" s="50">
        <f t="shared" si="2"/>
        <v>0.50637381161395367</v>
      </c>
      <c r="I13" s="50">
        <v>0.5</v>
      </c>
      <c r="J13" s="51">
        <f t="shared" si="0"/>
        <v>6.3738116139536727E-3</v>
      </c>
      <c r="K13" s="6"/>
      <c r="L13" s="33">
        <v>13.4</v>
      </c>
      <c r="M13" s="23">
        <v>2.9426909252362406E-2</v>
      </c>
    </row>
    <row r="14" spans="1:13" x14ac:dyDescent="0.35">
      <c r="A14" s="24" t="s">
        <v>104</v>
      </c>
      <c r="B14" s="6" t="s">
        <v>108</v>
      </c>
      <c r="C14" s="6">
        <v>45</v>
      </c>
      <c r="D14" s="6">
        <v>37</v>
      </c>
      <c r="E14" s="32">
        <v>8377</v>
      </c>
      <c r="F14" s="32">
        <v>8237</v>
      </c>
      <c r="G14" s="50">
        <f t="shared" si="1"/>
        <v>1.0169964793007162</v>
      </c>
      <c r="H14" s="50">
        <f t="shared" si="2"/>
        <v>0.55834162839581447</v>
      </c>
      <c r="I14" s="50">
        <v>0.54900000000000004</v>
      </c>
      <c r="J14" s="51">
        <f t="shared" si="0"/>
        <v>9.3416283958144275E-3</v>
      </c>
      <c r="K14" s="6"/>
      <c r="L14" s="33">
        <v>13.600000000000001</v>
      </c>
      <c r="M14" s="23">
        <v>2.9040802344703503E-2</v>
      </c>
    </row>
    <row r="15" spans="1:13" x14ac:dyDescent="0.35">
      <c r="A15" s="24" t="s">
        <v>104</v>
      </c>
      <c r="B15" s="6" t="s">
        <v>119</v>
      </c>
      <c r="C15" s="6">
        <v>53</v>
      </c>
      <c r="D15" s="6">
        <v>29</v>
      </c>
      <c r="E15" s="32">
        <v>8569</v>
      </c>
      <c r="F15" s="32">
        <v>8218</v>
      </c>
      <c r="G15" s="50">
        <f t="shared" si="1"/>
        <v>1.0427111219274763</v>
      </c>
      <c r="H15" s="50">
        <f t="shared" si="2"/>
        <v>0.6414755460782432</v>
      </c>
      <c r="I15" s="50">
        <v>0.64600000000000002</v>
      </c>
      <c r="J15" s="51">
        <f t="shared" si="0"/>
        <v>4.5244539217568214E-3</v>
      </c>
      <c r="K15" s="6"/>
      <c r="L15" s="33">
        <v>13.8</v>
      </c>
      <c r="M15" s="23">
        <v>2.8753326895374531E-2</v>
      </c>
    </row>
    <row r="16" spans="1:13" x14ac:dyDescent="0.35">
      <c r="A16" s="24" t="s">
        <v>104</v>
      </c>
      <c r="B16" s="6" t="s">
        <v>93</v>
      </c>
      <c r="C16" s="6">
        <v>17</v>
      </c>
      <c r="D16" s="6">
        <v>65</v>
      </c>
      <c r="E16" s="32">
        <v>7982</v>
      </c>
      <c r="F16" s="32">
        <v>8766</v>
      </c>
      <c r="G16" s="50">
        <f t="shared" si="1"/>
        <v>0.91056354095368464</v>
      </c>
      <c r="H16" s="50">
        <f t="shared" si="2"/>
        <v>0.21361854001625277</v>
      </c>
      <c r="I16" s="50">
        <v>0.20699999999999999</v>
      </c>
      <c r="J16" s="51">
        <f t="shared" si="0"/>
        <v>6.618540016252783E-3</v>
      </c>
      <c r="K16" s="6"/>
      <c r="L16" s="33">
        <v>14</v>
      </c>
      <c r="M16" s="23">
        <v>2.8599516755877987E-2</v>
      </c>
    </row>
    <row r="17" spans="1:13" x14ac:dyDescent="0.35">
      <c r="A17" s="24" t="s">
        <v>104</v>
      </c>
      <c r="B17" s="6" t="s">
        <v>121</v>
      </c>
      <c r="C17" s="6">
        <v>42</v>
      </c>
      <c r="D17" s="6">
        <v>40</v>
      </c>
      <c r="E17" s="32">
        <v>8126</v>
      </c>
      <c r="F17" s="32">
        <v>8310</v>
      </c>
      <c r="G17" s="50">
        <f t="shared" si="1"/>
        <v>0.97785800240673892</v>
      </c>
      <c r="H17" s="50">
        <f t="shared" si="2"/>
        <v>0.42275934042957775</v>
      </c>
      <c r="I17" s="50">
        <v>0.51200000000000001</v>
      </c>
      <c r="J17" s="51">
        <f t="shared" si="0"/>
        <v>8.9240659570422265E-2</v>
      </c>
      <c r="K17" s="6"/>
      <c r="L17" s="33">
        <v>14.200000000000001</v>
      </c>
      <c r="M17" s="23">
        <v>2.8499705281374091E-2</v>
      </c>
    </row>
    <row r="18" spans="1:13" x14ac:dyDescent="0.35">
      <c r="A18" s="24" t="s">
        <v>104</v>
      </c>
      <c r="B18" s="6" t="s">
        <v>109</v>
      </c>
      <c r="C18" s="6">
        <v>48</v>
      </c>
      <c r="D18" s="6">
        <v>34</v>
      </c>
      <c r="E18" s="32">
        <v>8204</v>
      </c>
      <c r="F18" s="32">
        <v>8069</v>
      </c>
      <c r="G18" s="50">
        <f t="shared" si="1"/>
        <v>1.0167306977320609</v>
      </c>
      <c r="H18" s="50">
        <f t="shared" si="2"/>
        <v>0.55744488657770741</v>
      </c>
      <c r="I18" s="50">
        <v>0.58499999999999996</v>
      </c>
      <c r="J18" s="51">
        <f t="shared" si="0"/>
        <v>2.7555113422292554E-2</v>
      </c>
      <c r="K18" s="6"/>
      <c r="L18" s="34">
        <v>14.4</v>
      </c>
      <c r="M18" s="35">
        <v>2.8448144853216357E-2</v>
      </c>
    </row>
    <row r="19" spans="1:13" x14ac:dyDescent="0.35">
      <c r="A19" s="24" t="s">
        <v>104</v>
      </c>
      <c r="B19" s="6" t="s">
        <v>94</v>
      </c>
      <c r="C19" s="6">
        <v>33</v>
      </c>
      <c r="D19" s="6">
        <v>49</v>
      </c>
      <c r="E19" s="32">
        <v>8122</v>
      </c>
      <c r="F19" s="32">
        <v>8465</v>
      </c>
      <c r="G19" s="50">
        <f t="shared" si="1"/>
        <v>0.95948021264028349</v>
      </c>
      <c r="H19" s="50">
        <f t="shared" si="2"/>
        <v>0.359999230275099</v>
      </c>
      <c r="I19" s="50">
        <v>0.40200000000000002</v>
      </c>
      <c r="J19" s="51">
        <f t="shared" si="0"/>
        <v>4.2000769724901021E-2</v>
      </c>
      <c r="K19" s="6"/>
      <c r="L19" s="33">
        <v>14.600000000000001</v>
      </c>
      <c r="M19" s="23">
        <v>2.8472659598973164E-2</v>
      </c>
    </row>
    <row r="20" spans="1:13" x14ac:dyDescent="0.35">
      <c r="A20" s="24" t="s">
        <v>104</v>
      </c>
      <c r="B20" s="6" t="s">
        <v>95</v>
      </c>
      <c r="C20" s="6">
        <v>29</v>
      </c>
      <c r="D20" s="6">
        <v>53</v>
      </c>
      <c r="E20" s="32">
        <v>8398</v>
      </c>
      <c r="F20" s="32">
        <v>8688</v>
      </c>
      <c r="G20" s="50">
        <f t="shared" si="1"/>
        <v>0.96662062615101285</v>
      </c>
      <c r="H20" s="50">
        <f t="shared" si="2"/>
        <v>0.38408783356641418</v>
      </c>
      <c r="I20" s="50">
        <v>0.35399999999999998</v>
      </c>
      <c r="J20" s="51">
        <f t="shared" si="0"/>
        <v>3.0087833566414202E-2</v>
      </c>
      <c r="K20" s="6"/>
      <c r="L20" s="33">
        <v>14.8</v>
      </c>
      <c r="M20" s="23">
        <v>2.8567998589266546E-2</v>
      </c>
    </row>
    <row r="21" spans="1:13" x14ac:dyDescent="0.35">
      <c r="A21" s="24" t="s">
        <v>104</v>
      </c>
      <c r="B21" s="6" t="s">
        <v>96</v>
      </c>
      <c r="C21" s="6">
        <v>30</v>
      </c>
      <c r="D21" s="6">
        <v>52</v>
      </c>
      <c r="E21" s="32">
        <v>8423</v>
      </c>
      <c r="F21" s="32">
        <v>8734</v>
      </c>
      <c r="G21" s="50">
        <f t="shared" si="1"/>
        <v>0.96439203114266081</v>
      </c>
      <c r="H21" s="50">
        <f t="shared" si="2"/>
        <v>0.37652120811687889</v>
      </c>
      <c r="I21" s="50">
        <v>0.36599999999999999</v>
      </c>
      <c r="J21" s="51">
        <f t="shared" si="0"/>
        <v>1.05212081168789E-2</v>
      </c>
      <c r="K21" s="6"/>
      <c r="L21" s="33">
        <v>15</v>
      </c>
      <c r="M21" s="23">
        <v>2.875725409031998E-2</v>
      </c>
    </row>
    <row r="22" spans="1:13" x14ac:dyDescent="0.35">
      <c r="A22" s="24" t="s">
        <v>104</v>
      </c>
      <c r="B22" s="6" t="s">
        <v>97</v>
      </c>
      <c r="C22" s="6">
        <v>32</v>
      </c>
      <c r="D22" s="6">
        <v>50</v>
      </c>
      <c r="E22" s="32">
        <v>8065</v>
      </c>
      <c r="F22" s="32">
        <v>8289</v>
      </c>
      <c r="G22" s="50">
        <f t="shared" si="1"/>
        <v>0.97297623356255281</v>
      </c>
      <c r="H22" s="50">
        <f t="shared" si="2"/>
        <v>0.4058681005391202</v>
      </c>
      <c r="I22" s="50">
        <v>0.39</v>
      </c>
      <c r="J22" s="51">
        <f t="shared" si="0"/>
        <v>1.5868100539120189E-2</v>
      </c>
      <c r="K22" s="6"/>
      <c r="L22" s="33">
        <v>15.200000000000001</v>
      </c>
      <c r="M22" s="23">
        <v>2.8969189056877297E-2</v>
      </c>
    </row>
    <row r="23" spans="1:13" x14ac:dyDescent="0.35">
      <c r="A23" s="24" t="s">
        <v>104</v>
      </c>
      <c r="B23" s="6" t="s">
        <v>110</v>
      </c>
      <c r="C23" s="6">
        <v>55</v>
      </c>
      <c r="D23" s="6">
        <v>27</v>
      </c>
      <c r="E23" s="32">
        <v>9038</v>
      </c>
      <c r="F23" s="32">
        <v>8441</v>
      </c>
      <c r="G23" s="50">
        <f t="shared" si="1"/>
        <v>1.0707262172728349</v>
      </c>
      <c r="H23" s="50">
        <f t="shared" si="2"/>
        <v>0.72122967906497304</v>
      </c>
      <c r="I23" s="50">
        <v>0.67100000000000004</v>
      </c>
      <c r="J23" s="51">
        <f t="shared" si="0"/>
        <v>5.0229679064972999E-2</v>
      </c>
      <c r="K23" s="6"/>
      <c r="L23" s="33">
        <v>15.4</v>
      </c>
      <c r="M23" s="23">
        <v>2.9267529166240525E-2</v>
      </c>
    </row>
    <row r="24" spans="1:13" x14ac:dyDescent="0.35">
      <c r="A24" s="24" t="s">
        <v>104</v>
      </c>
      <c r="B24" s="6" t="s">
        <v>98</v>
      </c>
      <c r="C24" s="6">
        <v>35</v>
      </c>
      <c r="D24" s="6">
        <v>47</v>
      </c>
      <c r="E24" s="32">
        <v>8369</v>
      </c>
      <c r="F24" s="32">
        <v>8502</v>
      </c>
      <c r="G24" s="50">
        <f t="shared" si="1"/>
        <v>0.98435662197130092</v>
      </c>
      <c r="H24" s="50">
        <f t="shared" si="2"/>
        <v>0.44538889267101095</v>
      </c>
      <c r="I24" s="50">
        <v>0.42699999999999999</v>
      </c>
      <c r="J24" s="51">
        <f t="shared" si="0"/>
        <v>1.8388892671010959E-2</v>
      </c>
      <c r="K24" s="6"/>
      <c r="L24" s="33">
        <v>15.600000000000001</v>
      </c>
      <c r="M24" s="23">
        <v>2.9617769055631963E-2</v>
      </c>
    </row>
    <row r="25" spans="1:13" x14ac:dyDescent="0.35">
      <c r="A25" s="24" t="s">
        <v>104</v>
      </c>
      <c r="B25" s="6" t="s">
        <v>99</v>
      </c>
      <c r="C25" s="6">
        <v>10</v>
      </c>
      <c r="D25" s="6">
        <v>72</v>
      </c>
      <c r="E25" s="32">
        <v>7988</v>
      </c>
      <c r="F25" s="32">
        <v>8827</v>
      </c>
      <c r="G25" s="50">
        <f t="shared" si="1"/>
        <v>0.90495071938370908</v>
      </c>
      <c r="H25" s="50">
        <f t="shared" si="2"/>
        <v>0.19952618573571831</v>
      </c>
      <c r="I25" s="50">
        <v>0.122</v>
      </c>
      <c r="J25" s="51">
        <f t="shared" si="0"/>
        <v>7.7526185735718317E-2</v>
      </c>
      <c r="K25" s="6"/>
      <c r="L25" s="33">
        <v>15.8</v>
      </c>
      <c r="M25" s="23">
        <v>3.0008089768964262E-2</v>
      </c>
    </row>
    <row r="26" spans="1:13" x14ac:dyDescent="0.35">
      <c r="A26" s="24" t="s">
        <v>104</v>
      </c>
      <c r="B26" s="6" t="s">
        <v>100</v>
      </c>
      <c r="C26" s="6">
        <v>23</v>
      </c>
      <c r="D26" s="6">
        <v>59</v>
      </c>
      <c r="E26" s="32">
        <v>8271</v>
      </c>
      <c r="F26" s="32">
        <v>8817</v>
      </c>
      <c r="G26" s="50">
        <f t="shared" si="1"/>
        <v>0.93807417488941813</v>
      </c>
      <c r="H26" s="50">
        <f t="shared" si="2"/>
        <v>0.29127201299324734</v>
      </c>
      <c r="I26" s="50">
        <v>0.28000000000000003</v>
      </c>
      <c r="J26" s="51">
        <f t="shared" si="0"/>
        <v>1.1272012993247316E-2</v>
      </c>
      <c r="K26" s="6"/>
      <c r="L26" s="33">
        <v>16</v>
      </c>
      <c r="M26" s="23">
        <v>3.0452926316093729E-2</v>
      </c>
    </row>
    <row r="27" spans="1:13" ht="15" thickBot="1" x14ac:dyDescent="0.4">
      <c r="A27" s="27" t="s">
        <v>104</v>
      </c>
      <c r="B27" s="36" t="s">
        <v>114</v>
      </c>
      <c r="C27" s="36">
        <v>44</v>
      </c>
      <c r="D27" s="36">
        <v>38</v>
      </c>
      <c r="E27" s="37">
        <v>8622</v>
      </c>
      <c r="F27" s="37">
        <v>8554</v>
      </c>
      <c r="G27" s="52">
        <f t="shared" si="1"/>
        <v>1.0079494973111995</v>
      </c>
      <c r="H27" s="52">
        <f t="shared" si="2"/>
        <v>0.52750727464156277</v>
      </c>
      <c r="I27" s="52">
        <v>0.53700000000000003</v>
      </c>
      <c r="J27" s="51">
        <f t="shared" si="0"/>
        <v>9.4927253584372595E-3</v>
      </c>
      <c r="K27" s="36"/>
      <c r="L27" s="37"/>
      <c r="M27" s="38"/>
    </row>
    <row r="28" spans="1:13" x14ac:dyDescent="0.35">
      <c r="A28" s="30" t="s">
        <v>104</v>
      </c>
      <c r="B28" s="30" t="s">
        <v>101</v>
      </c>
      <c r="C28" s="30">
        <v>33</v>
      </c>
      <c r="D28" s="30">
        <v>49</v>
      </c>
      <c r="E28" s="31">
        <v>8740</v>
      </c>
      <c r="F28" s="31">
        <v>8943</v>
      </c>
      <c r="G28" s="51">
        <f t="shared" si="1"/>
        <v>0.97730068209773002</v>
      </c>
      <c r="H28" s="51">
        <f t="shared" si="2"/>
        <v>0.42082531620039471</v>
      </c>
      <c r="I28" s="51">
        <v>0.40200000000000002</v>
      </c>
      <c r="J28" s="51">
        <f t="shared" si="0"/>
        <v>1.8825316200394682E-2</v>
      </c>
      <c r="L28" s="31"/>
    </row>
    <row r="29" spans="1:13" x14ac:dyDescent="0.35">
      <c r="A29" s="30" t="s">
        <v>104</v>
      </c>
      <c r="B29" s="30" t="s">
        <v>123</v>
      </c>
      <c r="C29" s="30">
        <v>67</v>
      </c>
      <c r="D29" s="30">
        <v>15</v>
      </c>
      <c r="E29" s="31">
        <v>8490</v>
      </c>
      <c r="F29" s="31">
        <v>7618</v>
      </c>
      <c r="G29" s="51">
        <f t="shared" si="1"/>
        <v>1.1144657390391179</v>
      </c>
      <c r="H29" s="51">
        <f t="shared" si="2"/>
        <v>0.81869012787046258</v>
      </c>
      <c r="I29" s="51">
        <v>0.81699999999999995</v>
      </c>
      <c r="J29" s="51">
        <f t="shared" si="0"/>
        <v>1.6901278704626321E-3</v>
      </c>
      <c r="L29" s="31"/>
    </row>
    <row r="30" spans="1:13" x14ac:dyDescent="0.35">
      <c r="A30" s="30" t="s">
        <v>104</v>
      </c>
      <c r="B30" s="30" t="s">
        <v>115</v>
      </c>
      <c r="C30" s="30">
        <v>56</v>
      </c>
      <c r="D30" s="30">
        <v>26</v>
      </c>
      <c r="E30" s="31">
        <v>8422</v>
      </c>
      <c r="F30" s="31">
        <v>8053</v>
      </c>
      <c r="G30" s="51">
        <f t="shared" si="1"/>
        <v>1.0458214330063331</v>
      </c>
      <c r="H30" s="51">
        <f t="shared" si="2"/>
        <v>0.6509470516000736</v>
      </c>
      <c r="I30" s="51">
        <v>0.68300000000000005</v>
      </c>
      <c r="J30" s="51">
        <f t="shared" si="0"/>
        <v>3.2052948399926451E-2</v>
      </c>
      <c r="L30" s="31"/>
    </row>
    <row r="31" spans="1:13" x14ac:dyDescent="0.35">
      <c r="A31" s="30" t="s">
        <v>104</v>
      </c>
      <c r="B31" s="30" t="s">
        <v>102</v>
      </c>
      <c r="C31" s="30">
        <v>40</v>
      </c>
      <c r="D31" s="30">
        <v>42</v>
      </c>
      <c r="E31" s="31">
        <v>8010</v>
      </c>
      <c r="F31" s="31">
        <v>7863</v>
      </c>
      <c r="G31" s="51">
        <f t="shared" si="1"/>
        <v>1.0186951545211751</v>
      </c>
      <c r="H31" s="51">
        <f t="shared" si="2"/>
        <v>0.56405818873866109</v>
      </c>
      <c r="I31" s="51">
        <v>0.48799999999999999</v>
      </c>
      <c r="J31" s="51">
        <f t="shared" si="0"/>
        <v>7.6058188738661103E-2</v>
      </c>
      <c r="L31" s="31"/>
    </row>
    <row r="32" spans="1:13" x14ac:dyDescent="0.35">
      <c r="A32" s="30" t="s">
        <v>104</v>
      </c>
      <c r="B32" s="30" t="s">
        <v>103</v>
      </c>
      <c r="C32" s="30">
        <v>41</v>
      </c>
      <c r="D32" s="30">
        <v>41</v>
      </c>
      <c r="E32" s="31">
        <v>8534</v>
      </c>
      <c r="F32" s="31">
        <v>8575</v>
      </c>
      <c r="G32" s="51">
        <f t="shared" si="1"/>
        <v>0.99521865889212824</v>
      </c>
      <c r="H32" s="51">
        <f t="shared" si="2"/>
        <v>0.48333917964191608</v>
      </c>
      <c r="I32" s="51">
        <v>0.5</v>
      </c>
      <c r="J32" s="51">
        <f t="shared" si="0"/>
        <v>1.6660820358083916E-2</v>
      </c>
      <c r="L32" s="31"/>
    </row>
    <row r="33" spans="1:10" x14ac:dyDescent="0.35">
      <c r="A33" s="30" t="s">
        <v>105</v>
      </c>
      <c r="B33" s="30" t="s">
        <v>122</v>
      </c>
      <c r="C33" s="30">
        <v>60</v>
      </c>
      <c r="D33" s="30">
        <v>22</v>
      </c>
      <c r="E33" s="30">
        <v>8409</v>
      </c>
      <c r="F33" s="30">
        <v>7964</v>
      </c>
      <c r="G33" s="51">
        <f t="shared" si="1"/>
        <v>1.0558764439979909</v>
      </c>
      <c r="H33" s="51">
        <f t="shared" si="2"/>
        <v>0.68055054603351495</v>
      </c>
      <c r="I33" s="51">
        <v>0.73199999999999998</v>
      </c>
      <c r="J33" s="51">
        <f t="shared" si="0"/>
        <v>5.1449453966485037E-2</v>
      </c>
    </row>
    <row r="34" spans="1:10" x14ac:dyDescent="0.35">
      <c r="A34" s="30" t="s">
        <v>105</v>
      </c>
      <c r="B34" s="30" t="s">
        <v>111</v>
      </c>
      <c r="C34" s="30">
        <v>40</v>
      </c>
      <c r="D34" s="30">
        <v>42</v>
      </c>
      <c r="E34" s="30">
        <v>8312</v>
      </c>
      <c r="F34" s="30">
        <v>8299</v>
      </c>
      <c r="G34" s="51">
        <f t="shared" si="1"/>
        <v>1.0015664537896132</v>
      </c>
      <c r="H34" s="51">
        <f t="shared" si="2"/>
        <v>0.50544286599111854</v>
      </c>
      <c r="I34" s="51">
        <v>0.48799999999999999</v>
      </c>
      <c r="J34" s="51">
        <f t="shared" si="0"/>
        <v>1.744286599111855E-2</v>
      </c>
    </row>
    <row r="35" spans="1:10" x14ac:dyDescent="0.35">
      <c r="A35" s="30" t="s">
        <v>105</v>
      </c>
      <c r="B35" s="30" t="s">
        <v>90</v>
      </c>
      <c r="C35" s="30">
        <v>38</v>
      </c>
      <c r="D35" s="30">
        <v>44</v>
      </c>
      <c r="E35" s="30">
        <v>8038</v>
      </c>
      <c r="F35" s="30">
        <v>8274</v>
      </c>
      <c r="G35" s="51">
        <f t="shared" si="1"/>
        <v>0.97147691563935223</v>
      </c>
      <c r="H35" s="51">
        <f t="shared" si="2"/>
        <v>0.40070597495765548</v>
      </c>
      <c r="I35" s="51">
        <v>0.46300000000000002</v>
      </c>
      <c r="J35" s="51">
        <f t="shared" si="0"/>
        <v>6.2294025042344547E-2</v>
      </c>
    </row>
    <row r="36" spans="1:10" x14ac:dyDescent="0.35">
      <c r="A36" s="30" t="s">
        <v>105</v>
      </c>
      <c r="B36" s="30" t="s">
        <v>106</v>
      </c>
      <c r="C36" s="30">
        <v>33</v>
      </c>
      <c r="D36" s="30">
        <v>49</v>
      </c>
      <c r="E36" s="30">
        <v>7721</v>
      </c>
      <c r="F36" s="30">
        <v>7981</v>
      </c>
      <c r="G36" s="51">
        <f t="shared" si="1"/>
        <v>0.96742262874326523</v>
      </c>
      <c r="H36" s="51">
        <f t="shared" si="2"/>
        <v>0.38682053620897944</v>
      </c>
      <c r="I36" s="51">
        <v>0.40200000000000002</v>
      </c>
      <c r="J36" s="51">
        <f t="shared" si="0"/>
        <v>1.5179463791020587E-2</v>
      </c>
    </row>
    <row r="37" spans="1:10" x14ac:dyDescent="0.35">
      <c r="A37" s="30" t="s">
        <v>105</v>
      </c>
      <c r="B37" s="30" t="s">
        <v>91</v>
      </c>
      <c r="C37" s="30">
        <v>50</v>
      </c>
      <c r="D37" s="30">
        <v>32</v>
      </c>
      <c r="E37" s="30">
        <v>8265</v>
      </c>
      <c r="F37" s="30">
        <v>8019</v>
      </c>
      <c r="G37" s="51">
        <f t="shared" si="1"/>
        <v>1.030677141788253</v>
      </c>
      <c r="H37" s="51">
        <f t="shared" si="2"/>
        <v>0.60355614423344783</v>
      </c>
      <c r="I37" s="51">
        <v>0.61</v>
      </c>
      <c r="J37" s="51">
        <f t="shared" si="0"/>
        <v>6.4438557665521534E-3</v>
      </c>
    </row>
    <row r="38" spans="1:10" x14ac:dyDescent="0.35">
      <c r="A38" s="30" t="s">
        <v>105</v>
      </c>
      <c r="B38" s="30" t="s">
        <v>112</v>
      </c>
      <c r="C38" s="30">
        <v>53</v>
      </c>
      <c r="D38" s="30">
        <v>29</v>
      </c>
      <c r="E38" s="30">
        <v>8457</v>
      </c>
      <c r="F38" s="30">
        <v>8090</v>
      </c>
      <c r="G38" s="51">
        <f t="shared" si="1"/>
        <v>1.0453646477132261</v>
      </c>
      <c r="H38" s="51">
        <f t="shared" si="2"/>
        <v>0.64956504297046924</v>
      </c>
      <c r="I38" s="51">
        <v>0.64600000000000002</v>
      </c>
      <c r="J38" s="51">
        <f t="shared" si="0"/>
        <v>3.5650429704692232E-3</v>
      </c>
    </row>
    <row r="39" spans="1:10" x14ac:dyDescent="0.35">
      <c r="A39" s="30" t="s">
        <v>105</v>
      </c>
      <c r="B39" s="30" t="s">
        <v>113</v>
      </c>
      <c r="C39" s="30">
        <v>50</v>
      </c>
      <c r="D39" s="30">
        <v>32</v>
      </c>
      <c r="E39" s="30">
        <v>8628</v>
      </c>
      <c r="F39" s="30">
        <v>8390</v>
      </c>
      <c r="G39" s="51">
        <f t="shared" si="1"/>
        <v>1.0283671036948749</v>
      </c>
      <c r="H39" s="51">
        <f t="shared" si="2"/>
        <v>0.59606443812369891</v>
      </c>
      <c r="I39" s="51">
        <v>0.61</v>
      </c>
      <c r="J39" s="51">
        <f t="shared" si="0"/>
        <v>1.3935561876301072E-2</v>
      </c>
    </row>
    <row r="40" spans="1:10" x14ac:dyDescent="0.35">
      <c r="A40" s="30" t="s">
        <v>105</v>
      </c>
      <c r="B40" s="30" t="s">
        <v>92</v>
      </c>
      <c r="C40" s="30">
        <v>30</v>
      </c>
      <c r="D40" s="30">
        <v>52</v>
      </c>
      <c r="E40" s="30">
        <v>8320</v>
      </c>
      <c r="F40" s="30">
        <v>8611</v>
      </c>
      <c r="G40" s="51">
        <f t="shared" si="1"/>
        <v>0.96620601556149111</v>
      </c>
      <c r="H40" s="51">
        <f t="shared" si="2"/>
        <v>0.38267707610377821</v>
      </c>
      <c r="I40" s="51">
        <v>0.36599999999999999</v>
      </c>
      <c r="J40" s="51">
        <f t="shared" si="0"/>
        <v>1.6677076103778221E-2</v>
      </c>
    </row>
    <row r="41" spans="1:10" x14ac:dyDescent="0.35">
      <c r="A41" s="30" t="s">
        <v>105</v>
      </c>
      <c r="B41" s="30" t="s">
        <v>107</v>
      </c>
      <c r="C41" s="30">
        <v>32</v>
      </c>
      <c r="D41" s="30">
        <v>50</v>
      </c>
      <c r="E41" s="30">
        <v>8077</v>
      </c>
      <c r="F41" s="30">
        <v>8159</v>
      </c>
      <c r="G41" s="51">
        <f t="shared" si="1"/>
        <v>0.98994974874371855</v>
      </c>
      <c r="H41" s="51">
        <f t="shared" si="2"/>
        <v>0.46493111390938707</v>
      </c>
      <c r="I41" s="51">
        <v>0.39</v>
      </c>
      <c r="J41" s="51">
        <f t="shared" si="0"/>
        <v>7.4931113909387059E-2</v>
      </c>
    </row>
    <row r="42" spans="1:10" x14ac:dyDescent="0.35">
      <c r="A42" s="30" t="s">
        <v>105</v>
      </c>
      <c r="B42" s="30" t="s">
        <v>116</v>
      </c>
      <c r="C42" s="30">
        <v>67</v>
      </c>
      <c r="D42" s="30">
        <v>15</v>
      </c>
      <c r="E42" s="30">
        <v>9016</v>
      </c>
      <c r="F42" s="30">
        <v>8188</v>
      </c>
      <c r="G42" s="51">
        <f t="shared" si="1"/>
        <v>1.101123595505618</v>
      </c>
      <c r="H42" s="51">
        <f t="shared" si="2"/>
        <v>0.79248430492750699</v>
      </c>
      <c r="I42" s="51">
        <v>0.81699999999999995</v>
      </c>
      <c r="J42" s="51">
        <f t="shared" si="0"/>
        <v>2.451569507249296E-2</v>
      </c>
    </row>
    <row r="43" spans="1:10" x14ac:dyDescent="0.35">
      <c r="A43" s="30" t="s">
        <v>105</v>
      </c>
      <c r="B43" s="30" t="s">
        <v>117</v>
      </c>
      <c r="C43" s="30">
        <v>56</v>
      </c>
      <c r="D43" s="30">
        <v>26</v>
      </c>
      <c r="E43" s="30">
        <v>8522</v>
      </c>
      <c r="F43" s="30">
        <v>8240</v>
      </c>
      <c r="G43" s="51">
        <f t="shared" si="1"/>
        <v>1.0342233009708739</v>
      </c>
      <c r="H43" s="51">
        <f t="shared" si="2"/>
        <v>0.61492954724045168</v>
      </c>
      <c r="I43" s="51">
        <v>0.68300000000000005</v>
      </c>
      <c r="J43" s="51">
        <f t="shared" si="0"/>
        <v>6.8070452759548372E-2</v>
      </c>
    </row>
    <row r="44" spans="1:10" x14ac:dyDescent="0.35">
      <c r="A44" s="30" t="s">
        <v>105</v>
      </c>
      <c r="B44" s="30" t="s">
        <v>108</v>
      </c>
      <c r="C44" s="30">
        <v>38</v>
      </c>
      <c r="D44" s="30">
        <v>44</v>
      </c>
      <c r="E44" s="30">
        <v>7981</v>
      </c>
      <c r="F44" s="30">
        <v>7958</v>
      </c>
      <c r="G44" s="51">
        <f t="shared" si="1"/>
        <v>1.0028901734104045</v>
      </c>
      <c r="H44" s="51">
        <f t="shared" si="2"/>
        <v>0.51003473440086777</v>
      </c>
      <c r="I44" s="51">
        <v>0.46300000000000002</v>
      </c>
      <c r="J44" s="51">
        <f t="shared" si="0"/>
        <v>4.703473440086775E-2</v>
      </c>
    </row>
    <row r="45" spans="1:10" x14ac:dyDescent="0.35">
      <c r="A45" s="30" t="s">
        <v>105</v>
      </c>
      <c r="B45" s="30" t="s">
        <v>119</v>
      </c>
      <c r="C45" s="30">
        <v>56</v>
      </c>
      <c r="D45" s="30">
        <v>26</v>
      </c>
      <c r="E45" s="30">
        <v>8751</v>
      </c>
      <c r="F45" s="30">
        <v>8211</v>
      </c>
      <c r="G45" s="51">
        <f t="shared" si="1"/>
        <v>1.0657654366094265</v>
      </c>
      <c r="H45" s="51">
        <f t="shared" si="2"/>
        <v>0.70805849595600145</v>
      </c>
      <c r="I45" s="51">
        <v>0.68300000000000005</v>
      </c>
      <c r="J45" s="51">
        <f t="shared" si="0"/>
        <v>2.5058495956001403E-2</v>
      </c>
    </row>
    <row r="46" spans="1:10" x14ac:dyDescent="0.35">
      <c r="A46" s="30" t="s">
        <v>105</v>
      </c>
      <c r="B46" s="30" t="s">
        <v>93</v>
      </c>
      <c r="C46" s="30">
        <v>21</v>
      </c>
      <c r="D46" s="30">
        <v>61</v>
      </c>
      <c r="E46" s="30">
        <v>8073</v>
      </c>
      <c r="F46" s="30">
        <v>8634</v>
      </c>
      <c r="G46" s="51">
        <f t="shared" si="1"/>
        <v>0.9350243224461432</v>
      </c>
      <c r="H46" s="51">
        <f t="shared" si="2"/>
        <v>0.28201025153969256</v>
      </c>
      <c r="I46" s="51">
        <v>0.25600000000000001</v>
      </c>
      <c r="J46" s="51">
        <f t="shared" si="0"/>
        <v>2.6010251539692553E-2</v>
      </c>
    </row>
    <row r="47" spans="1:10" x14ac:dyDescent="0.35">
      <c r="A47" s="30" t="s">
        <v>105</v>
      </c>
      <c r="B47" s="30" t="s">
        <v>121</v>
      </c>
      <c r="C47" s="30">
        <v>55</v>
      </c>
      <c r="D47" s="30">
        <v>27</v>
      </c>
      <c r="E47" s="30">
        <v>8062</v>
      </c>
      <c r="F47" s="30">
        <v>7796</v>
      </c>
      <c r="G47" s="51">
        <f t="shared" si="1"/>
        <v>1.0341200615700359</v>
      </c>
      <c r="H47" s="51">
        <f t="shared" si="2"/>
        <v>0.6146006844276084</v>
      </c>
      <c r="I47" s="51">
        <v>0.67100000000000004</v>
      </c>
      <c r="J47" s="51">
        <f t="shared" si="0"/>
        <v>5.639931557239164E-2</v>
      </c>
    </row>
    <row r="48" spans="1:10" x14ac:dyDescent="0.35">
      <c r="A48" s="30" t="s">
        <v>105</v>
      </c>
      <c r="B48" s="30" t="s">
        <v>109</v>
      </c>
      <c r="C48" s="30">
        <v>37</v>
      </c>
      <c r="D48" s="30">
        <v>45</v>
      </c>
      <c r="E48" s="30">
        <v>7764</v>
      </c>
      <c r="F48" s="30">
        <v>7977</v>
      </c>
      <c r="G48" s="51">
        <f t="shared" si="1"/>
        <v>0.97329823241820235</v>
      </c>
      <c r="H48" s="51">
        <f t="shared" si="2"/>
        <v>0.40697845744198258</v>
      </c>
      <c r="I48" s="51">
        <v>0.45100000000000001</v>
      </c>
      <c r="J48" s="51">
        <f t="shared" si="0"/>
        <v>4.4021542558017435E-2</v>
      </c>
    </row>
    <row r="49" spans="1:10" x14ac:dyDescent="0.35">
      <c r="A49" s="30" t="s">
        <v>105</v>
      </c>
      <c r="B49" s="30" t="s">
        <v>94</v>
      </c>
      <c r="C49" s="30">
        <v>41</v>
      </c>
      <c r="D49" s="30">
        <v>41</v>
      </c>
      <c r="E49" s="30">
        <v>8023</v>
      </c>
      <c r="F49" s="30">
        <v>7988</v>
      </c>
      <c r="G49" s="51">
        <f t="shared" si="1"/>
        <v>1.0043815723585379</v>
      </c>
      <c r="H49" s="51">
        <f t="shared" si="2"/>
        <v>0.5151989501976777</v>
      </c>
      <c r="I49" s="51">
        <v>0.5</v>
      </c>
      <c r="J49" s="51">
        <f t="shared" si="0"/>
        <v>1.5198950197677696E-2</v>
      </c>
    </row>
    <row r="50" spans="1:10" x14ac:dyDescent="0.35">
      <c r="A50" s="30" t="s">
        <v>105</v>
      </c>
      <c r="B50" s="30" t="s">
        <v>95</v>
      </c>
      <c r="C50" s="30">
        <v>16</v>
      </c>
      <c r="D50" s="30">
        <v>66</v>
      </c>
      <c r="E50" s="30">
        <v>8016</v>
      </c>
      <c r="F50" s="30">
        <v>8737</v>
      </c>
      <c r="G50" s="51">
        <f t="shared" si="1"/>
        <v>0.91747739498683756</v>
      </c>
      <c r="H50" s="51">
        <f t="shared" si="2"/>
        <v>0.23182563001735562</v>
      </c>
      <c r="I50" s="51">
        <v>0.19500000000000001</v>
      </c>
      <c r="J50" s="51">
        <f t="shared" si="0"/>
        <v>3.6825630017355615E-2</v>
      </c>
    </row>
    <row r="51" spans="1:10" x14ac:dyDescent="0.35">
      <c r="A51" s="30" t="s">
        <v>105</v>
      </c>
      <c r="B51" s="30" t="s">
        <v>96</v>
      </c>
      <c r="C51" s="30">
        <v>45</v>
      </c>
      <c r="D51" s="30">
        <v>37</v>
      </c>
      <c r="E51" s="30">
        <v>8147</v>
      </c>
      <c r="F51" s="30">
        <v>8082</v>
      </c>
      <c r="G51" s="51">
        <f t="shared" si="1"/>
        <v>1.0080425637218511</v>
      </c>
      <c r="H51" s="51">
        <f t="shared" si="2"/>
        <v>0.52782736268418995</v>
      </c>
      <c r="I51" s="51">
        <v>0.54900000000000004</v>
      </c>
      <c r="J51" s="51">
        <f t="shared" si="0"/>
        <v>2.1172637315810094E-2</v>
      </c>
    </row>
    <row r="52" spans="1:10" x14ac:dyDescent="0.35">
      <c r="A52" s="30" t="s">
        <v>105</v>
      </c>
      <c r="B52" s="30" t="s">
        <v>97</v>
      </c>
      <c r="C52" s="30">
        <v>17</v>
      </c>
      <c r="D52" s="30">
        <v>65</v>
      </c>
      <c r="E52" s="30">
        <v>7535</v>
      </c>
      <c r="F52" s="30">
        <v>8299</v>
      </c>
      <c r="G52" s="51">
        <f t="shared" si="1"/>
        <v>0.90794071574888546</v>
      </c>
      <c r="H52" s="51">
        <f t="shared" si="2"/>
        <v>0.20695561318954178</v>
      </c>
      <c r="I52" s="51">
        <v>0.20699999999999999</v>
      </c>
      <c r="J52" s="51">
        <f t="shared" si="0"/>
        <v>4.4386810458207915E-5</v>
      </c>
    </row>
    <row r="53" spans="1:10" x14ac:dyDescent="0.35">
      <c r="A53" s="30" t="s">
        <v>105</v>
      </c>
      <c r="B53" s="30" t="s">
        <v>110</v>
      </c>
      <c r="C53" s="30">
        <v>45</v>
      </c>
      <c r="D53" s="30">
        <v>37</v>
      </c>
      <c r="E53" s="30">
        <v>8524</v>
      </c>
      <c r="F53" s="30">
        <v>8345</v>
      </c>
      <c r="G53" s="51">
        <f t="shared" si="1"/>
        <v>1.0214499700419413</v>
      </c>
      <c r="H53" s="51">
        <f t="shared" si="2"/>
        <v>0.57327215284966315</v>
      </c>
      <c r="I53" s="51">
        <v>0.54900000000000004</v>
      </c>
      <c r="J53" s="51">
        <f t="shared" si="0"/>
        <v>2.4272152849663109E-2</v>
      </c>
    </row>
    <row r="54" spans="1:10" x14ac:dyDescent="0.35">
      <c r="A54" s="30" t="s">
        <v>105</v>
      </c>
      <c r="B54" s="30" t="s">
        <v>98</v>
      </c>
      <c r="C54" s="30">
        <v>25</v>
      </c>
      <c r="D54" s="30">
        <v>57</v>
      </c>
      <c r="E54" s="30">
        <v>7847</v>
      </c>
      <c r="F54" s="30">
        <v>8316</v>
      </c>
      <c r="G54" s="51">
        <f t="shared" si="1"/>
        <v>0.94360269360269355</v>
      </c>
      <c r="H54" s="51">
        <f t="shared" si="2"/>
        <v>0.30842848406829038</v>
      </c>
      <c r="I54" s="51">
        <v>0.30499999999999999</v>
      </c>
      <c r="J54" s="51">
        <f t="shared" si="0"/>
        <v>3.4284840682903828E-3</v>
      </c>
    </row>
    <row r="55" spans="1:10" x14ac:dyDescent="0.35">
      <c r="A55" s="30" t="s">
        <v>105</v>
      </c>
      <c r="B55" s="30" t="s">
        <v>99</v>
      </c>
      <c r="C55" s="30">
        <v>18</v>
      </c>
      <c r="D55" s="30">
        <v>64</v>
      </c>
      <c r="E55" s="30">
        <v>7542</v>
      </c>
      <c r="F55" s="30">
        <v>8278</v>
      </c>
      <c r="G55" s="51">
        <f t="shared" si="1"/>
        <v>0.91108963517757913</v>
      </c>
      <c r="H55" s="51">
        <f t="shared" si="2"/>
        <v>0.2149713140773937</v>
      </c>
      <c r="I55" s="51">
        <v>0.22</v>
      </c>
      <c r="J55" s="51">
        <f t="shared" si="0"/>
        <v>5.0286859226063019E-3</v>
      </c>
    </row>
    <row r="56" spans="1:10" x14ac:dyDescent="0.35">
      <c r="A56" s="30" t="s">
        <v>105</v>
      </c>
      <c r="B56" s="30" t="s">
        <v>100</v>
      </c>
      <c r="C56" s="30">
        <v>39</v>
      </c>
      <c r="D56" s="30">
        <v>43</v>
      </c>
      <c r="E56" s="30">
        <v>8397</v>
      </c>
      <c r="F56" s="30">
        <v>8471</v>
      </c>
      <c r="G56" s="51">
        <f t="shared" si="1"/>
        <v>0.99126431354031397</v>
      </c>
      <c r="H56" s="51">
        <f t="shared" si="2"/>
        <v>0.46952600244068132</v>
      </c>
      <c r="I56" s="51">
        <v>0.47599999999999998</v>
      </c>
      <c r="J56" s="51">
        <f t="shared" si="0"/>
        <v>6.4739975593186561E-3</v>
      </c>
    </row>
    <row r="57" spans="1:10" x14ac:dyDescent="0.35">
      <c r="A57" s="30" t="s">
        <v>105</v>
      </c>
      <c r="B57" s="30" t="s">
        <v>114</v>
      </c>
      <c r="C57" s="30">
        <v>51</v>
      </c>
      <c r="D57" s="30">
        <v>31</v>
      </c>
      <c r="E57" s="30">
        <v>8429</v>
      </c>
      <c r="F57" s="30">
        <v>8082</v>
      </c>
      <c r="G57" s="51">
        <f t="shared" si="1"/>
        <v>1.0429349170997277</v>
      </c>
      <c r="H57" s="51">
        <f t="shared" si="2"/>
        <v>0.64216179618693081</v>
      </c>
      <c r="I57" s="51">
        <v>0.622</v>
      </c>
      <c r="J57" s="51">
        <f t="shared" si="0"/>
        <v>2.0161796186930814E-2</v>
      </c>
    </row>
    <row r="58" spans="1:10" x14ac:dyDescent="0.35">
      <c r="A58" s="30" t="s">
        <v>105</v>
      </c>
      <c r="B58" s="30" t="s">
        <v>101</v>
      </c>
      <c r="C58" s="30">
        <v>29</v>
      </c>
      <c r="D58" s="30">
        <v>53</v>
      </c>
      <c r="E58" s="30">
        <v>8310</v>
      </c>
      <c r="F58" s="30">
        <v>8614</v>
      </c>
      <c r="G58" s="51">
        <f t="shared" si="1"/>
        <v>0.96470861388437423</v>
      </c>
      <c r="H58" s="51">
        <f t="shared" si="2"/>
        <v>0.37759357835671342</v>
      </c>
      <c r="I58" s="51">
        <v>0.35399999999999998</v>
      </c>
      <c r="J58" s="51">
        <f t="shared" si="0"/>
        <v>2.3593578356713441E-2</v>
      </c>
    </row>
    <row r="59" spans="1:10" x14ac:dyDescent="0.35">
      <c r="A59" s="30" t="s">
        <v>105</v>
      </c>
      <c r="B59" s="30" t="s">
        <v>123</v>
      </c>
      <c r="C59" s="30">
        <v>55</v>
      </c>
      <c r="D59" s="30">
        <v>27</v>
      </c>
      <c r="E59" s="30">
        <v>8461</v>
      </c>
      <c r="F59" s="30">
        <v>7953</v>
      </c>
      <c r="G59" s="51">
        <f t="shared" si="1"/>
        <v>1.0638752671947693</v>
      </c>
      <c r="H59" s="51">
        <f t="shared" si="2"/>
        <v>0.70292833139619237</v>
      </c>
      <c r="I59" s="51">
        <v>0.67100000000000004</v>
      </c>
      <c r="J59" s="51">
        <f t="shared" si="0"/>
        <v>3.1928331396192333E-2</v>
      </c>
    </row>
    <row r="60" spans="1:10" x14ac:dyDescent="0.35">
      <c r="A60" s="30" t="s">
        <v>105</v>
      </c>
      <c r="B60" s="30" t="s">
        <v>115</v>
      </c>
      <c r="C60" s="30">
        <v>49</v>
      </c>
      <c r="D60" s="30">
        <v>33</v>
      </c>
      <c r="E60" s="30">
        <v>8527</v>
      </c>
      <c r="F60" s="30">
        <v>8275</v>
      </c>
      <c r="G60" s="51">
        <f t="shared" si="1"/>
        <v>1.030453172205438</v>
      </c>
      <c r="H60" s="51">
        <f t="shared" si="2"/>
        <v>0.60283258226475067</v>
      </c>
      <c r="I60" s="51">
        <v>0.59799999999999998</v>
      </c>
      <c r="J60" s="51">
        <f t="shared" si="0"/>
        <v>4.8325822647506955E-3</v>
      </c>
    </row>
    <row r="61" spans="1:10" x14ac:dyDescent="0.35">
      <c r="A61" s="30" t="s">
        <v>105</v>
      </c>
      <c r="B61" s="30" t="s">
        <v>102</v>
      </c>
      <c r="C61" s="30">
        <v>38</v>
      </c>
      <c r="D61" s="30">
        <v>44</v>
      </c>
      <c r="E61" s="30">
        <v>7801</v>
      </c>
      <c r="F61" s="30">
        <v>7783</v>
      </c>
      <c r="G61" s="51">
        <f t="shared" si="1"/>
        <v>1.0023127328793524</v>
      </c>
      <c r="H61" s="51">
        <f t="shared" si="2"/>
        <v>0.50803255165121552</v>
      </c>
      <c r="I61" s="51">
        <v>0.46300000000000002</v>
      </c>
      <c r="J61" s="51">
        <f t="shared" si="0"/>
        <v>4.5032551651215502E-2</v>
      </c>
    </row>
    <row r="62" spans="1:10" x14ac:dyDescent="0.35">
      <c r="A62" s="30" t="s">
        <v>105</v>
      </c>
      <c r="B62" s="30" t="s">
        <v>103</v>
      </c>
      <c r="C62" s="30">
        <v>46</v>
      </c>
      <c r="D62" s="30">
        <v>36</v>
      </c>
      <c r="E62" s="30">
        <v>8080</v>
      </c>
      <c r="F62" s="30">
        <v>8021</v>
      </c>
      <c r="G62" s="51">
        <f t="shared" si="1"/>
        <v>1.0073556913103103</v>
      </c>
      <c r="H62" s="51">
        <f t="shared" si="2"/>
        <v>0.52546374952236707</v>
      </c>
      <c r="I62" s="51">
        <v>0.56100000000000005</v>
      </c>
      <c r="J62" s="51">
        <f t="shared" si="0"/>
        <v>3.553625047763298E-2</v>
      </c>
    </row>
    <row r="63" spans="1:10" x14ac:dyDescent="0.35">
      <c r="A63" s="30" t="s">
        <v>124</v>
      </c>
      <c r="B63" s="30" t="s">
        <v>122</v>
      </c>
      <c r="C63" s="30">
        <v>38</v>
      </c>
      <c r="D63" s="30">
        <v>44</v>
      </c>
      <c r="E63" s="30">
        <v>8282</v>
      </c>
      <c r="F63" s="30">
        <v>8321</v>
      </c>
      <c r="G63" s="51">
        <f t="shared" si="1"/>
        <v>0.99531306333373393</v>
      </c>
      <c r="H63" s="51">
        <f t="shared" si="2"/>
        <v>0.48366867360685961</v>
      </c>
      <c r="I63" s="51">
        <v>0.46300000000000002</v>
      </c>
      <c r="J63" s="51">
        <f t="shared" si="0"/>
        <v>2.0668673606859589E-2</v>
      </c>
    </row>
    <row r="64" spans="1:10" x14ac:dyDescent="0.35">
      <c r="A64" s="30" t="s">
        <v>124</v>
      </c>
      <c r="B64" s="30" t="s">
        <v>111</v>
      </c>
      <c r="C64" s="30">
        <v>25</v>
      </c>
      <c r="D64" s="30">
        <v>57</v>
      </c>
      <c r="E64" s="30">
        <v>7892</v>
      </c>
      <c r="F64" s="30">
        <v>8258</v>
      </c>
      <c r="G64" s="51">
        <f t="shared" si="1"/>
        <v>0.95567934124485343</v>
      </c>
      <c r="H64" s="51">
        <f t="shared" si="2"/>
        <v>0.34737908274255497</v>
      </c>
      <c r="I64" s="51">
        <v>0.30499999999999999</v>
      </c>
      <c r="J64" s="51">
        <f t="shared" si="0"/>
        <v>4.2379082742554974E-2</v>
      </c>
    </row>
    <row r="65" spans="1:10" x14ac:dyDescent="0.35">
      <c r="A65" s="30" t="s">
        <v>124</v>
      </c>
      <c r="B65" s="30" t="s">
        <v>90</v>
      </c>
      <c r="C65" s="30">
        <v>44</v>
      </c>
      <c r="D65" s="30">
        <v>38</v>
      </c>
      <c r="E65" s="30">
        <v>8079</v>
      </c>
      <c r="F65" s="30">
        <v>8161</v>
      </c>
      <c r="G65" s="51">
        <f t="shared" si="1"/>
        <v>0.98995221173875747</v>
      </c>
      <c r="H65" s="51">
        <f t="shared" si="2"/>
        <v>0.46493972336740563</v>
      </c>
      <c r="I65" s="51">
        <v>0.53700000000000003</v>
      </c>
      <c r="J65" s="51">
        <f t="shared" si="0"/>
        <v>7.20602766325944E-2</v>
      </c>
    </row>
    <row r="66" spans="1:10" x14ac:dyDescent="0.35">
      <c r="A66" s="30" t="s">
        <v>124</v>
      </c>
      <c r="B66" s="30" t="s">
        <v>106</v>
      </c>
      <c r="C66" s="30">
        <v>43</v>
      </c>
      <c r="D66" s="30">
        <v>39</v>
      </c>
      <c r="E66" s="30">
        <v>7942</v>
      </c>
      <c r="F66" s="30">
        <v>7960</v>
      </c>
      <c r="G66" s="51">
        <f t="shared" si="1"/>
        <v>0.99773869346733668</v>
      </c>
      <c r="H66" s="51">
        <f t="shared" si="2"/>
        <v>0.4921280524993934</v>
      </c>
      <c r="I66" s="51">
        <v>0.52400000000000002</v>
      </c>
      <c r="J66" s="51">
        <f t="shared" si="0"/>
        <v>3.1871947500606623E-2</v>
      </c>
    </row>
    <row r="67" spans="1:10" x14ac:dyDescent="0.35">
      <c r="A67" s="30" t="s">
        <v>124</v>
      </c>
      <c r="B67" s="30" t="s">
        <v>91</v>
      </c>
      <c r="C67" s="30">
        <v>48</v>
      </c>
      <c r="D67" s="30">
        <v>34</v>
      </c>
      <c r="E67" s="30">
        <v>7680</v>
      </c>
      <c r="F67" s="30">
        <v>7528</v>
      </c>
      <c r="G67" s="51">
        <f t="shared" si="1"/>
        <v>1.0201912858661</v>
      </c>
      <c r="H67" s="51">
        <f t="shared" si="2"/>
        <v>0.56907125796368063</v>
      </c>
      <c r="I67" s="51">
        <v>0.58499999999999996</v>
      </c>
      <c r="J67" s="51">
        <f t="shared" si="0"/>
        <v>1.5928742036319332E-2</v>
      </c>
    </row>
    <row r="68" spans="1:10" x14ac:dyDescent="0.35">
      <c r="A68" s="30" t="s">
        <v>124</v>
      </c>
      <c r="B68" s="30" t="s">
        <v>112</v>
      </c>
      <c r="C68" s="30">
        <v>33</v>
      </c>
      <c r="D68" s="30">
        <v>49</v>
      </c>
      <c r="E68" s="30">
        <v>8054</v>
      </c>
      <c r="F68" s="30">
        <v>8324</v>
      </c>
      <c r="G68" s="51">
        <f t="shared" ref="G68:G131" si="3">E68/F68</f>
        <v>0.96756367131186927</v>
      </c>
      <c r="H68" s="51">
        <f t="shared" ref="H68:H131" si="4">((G68^$H$1)/((G68^$H$1)+1))</f>
        <v>0.38730162595548517</v>
      </c>
      <c r="I68" s="51">
        <v>0.40200000000000002</v>
      </c>
      <c r="J68" s="51">
        <f t="shared" ref="J68:J131" si="5">ABS(H68-I68)</f>
        <v>1.469837404451485E-2</v>
      </c>
    </row>
    <row r="69" spans="1:10" x14ac:dyDescent="0.35">
      <c r="A69" s="30" t="s">
        <v>124</v>
      </c>
      <c r="B69" s="30" t="s">
        <v>113</v>
      </c>
      <c r="C69" s="30">
        <v>49</v>
      </c>
      <c r="D69" s="30">
        <v>33</v>
      </c>
      <c r="E69" s="30">
        <v>8597</v>
      </c>
      <c r="F69" s="30">
        <v>8400</v>
      </c>
      <c r="G69" s="51">
        <f t="shared" si="3"/>
        <v>1.023452380952381</v>
      </c>
      <c r="H69" s="51">
        <f t="shared" si="4"/>
        <v>0.57992269269822416</v>
      </c>
      <c r="I69" s="51">
        <v>0.59799999999999998</v>
      </c>
      <c r="J69" s="51">
        <f t="shared" si="5"/>
        <v>1.8077307301775813E-2</v>
      </c>
    </row>
    <row r="70" spans="1:10" x14ac:dyDescent="0.35">
      <c r="A70" s="30" t="s">
        <v>124</v>
      </c>
      <c r="B70" s="30" t="s">
        <v>92</v>
      </c>
      <c r="C70" s="30">
        <v>36</v>
      </c>
      <c r="D70" s="30">
        <v>46</v>
      </c>
      <c r="E70" s="30">
        <v>8559</v>
      </c>
      <c r="F70" s="30">
        <v>8735</v>
      </c>
      <c r="G70" s="51">
        <f t="shared" si="3"/>
        <v>0.97985117344018313</v>
      </c>
      <c r="H70" s="51">
        <f t="shared" si="4"/>
        <v>0.42968603229708902</v>
      </c>
      <c r="I70" s="51">
        <v>0.439</v>
      </c>
      <c r="J70" s="51">
        <f t="shared" si="5"/>
        <v>9.3139677029109857E-3</v>
      </c>
    </row>
    <row r="71" spans="1:10" x14ac:dyDescent="0.35">
      <c r="A71" s="30" t="s">
        <v>124</v>
      </c>
      <c r="B71" s="30" t="s">
        <v>107</v>
      </c>
      <c r="C71" s="30">
        <v>29</v>
      </c>
      <c r="D71" s="30">
        <v>53</v>
      </c>
      <c r="E71" s="30">
        <v>8286</v>
      </c>
      <c r="F71" s="30">
        <v>8586</v>
      </c>
      <c r="G71" s="51">
        <f t="shared" si="3"/>
        <v>0.96505939902166316</v>
      </c>
      <c r="H71" s="51">
        <f t="shared" si="4"/>
        <v>0.37878279195142778</v>
      </c>
      <c r="I71" s="51">
        <v>0.35399999999999998</v>
      </c>
      <c r="J71" s="51">
        <f t="shared" si="5"/>
        <v>2.4782791951427796E-2</v>
      </c>
    </row>
    <row r="72" spans="1:10" x14ac:dyDescent="0.35">
      <c r="A72" s="30" t="s">
        <v>124</v>
      </c>
      <c r="B72" s="30" t="s">
        <v>116</v>
      </c>
      <c r="C72" s="30">
        <v>51</v>
      </c>
      <c r="D72" s="30">
        <v>31</v>
      </c>
      <c r="E72" s="30">
        <v>8549</v>
      </c>
      <c r="F72" s="30">
        <v>8155</v>
      </c>
      <c r="G72" s="51">
        <f t="shared" si="3"/>
        <v>1.0483139178418148</v>
      </c>
      <c r="H72" s="51">
        <f t="shared" si="4"/>
        <v>0.65843249166676943</v>
      </c>
      <c r="I72" s="51">
        <v>0.622</v>
      </c>
      <c r="J72" s="51">
        <f t="shared" si="5"/>
        <v>3.6432491666769429E-2</v>
      </c>
    </row>
    <row r="73" spans="1:10" x14ac:dyDescent="0.35">
      <c r="A73" s="30" t="s">
        <v>124</v>
      </c>
      <c r="B73" s="30" t="s">
        <v>117</v>
      </c>
      <c r="C73" s="30">
        <v>54</v>
      </c>
      <c r="D73" s="30">
        <v>28</v>
      </c>
      <c r="E73" s="30">
        <v>8829</v>
      </c>
      <c r="F73" s="30">
        <v>8455</v>
      </c>
      <c r="G73" s="51">
        <f t="shared" si="3"/>
        <v>1.0442341809580129</v>
      </c>
      <c r="H73" s="51">
        <f t="shared" si="4"/>
        <v>0.64613141995585321</v>
      </c>
      <c r="I73" s="51">
        <v>0.65900000000000003</v>
      </c>
      <c r="J73" s="51">
        <f t="shared" si="5"/>
        <v>1.2868580044146816E-2</v>
      </c>
    </row>
    <row r="74" spans="1:10" x14ac:dyDescent="0.35">
      <c r="A74" s="30" t="s">
        <v>124</v>
      </c>
      <c r="B74" s="30" t="s">
        <v>108</v>
      </c>
      <c r="C74" s="30">
        <v>56</v>
      </c>
      <c r="D74" s="30">
        <v>26</v>
      </c>
      <c r="E74" s="30">
        <v>7933</v>
      </c>
      <c r="F74" s="30">
        <v>7572</v>
      </c>
      <c r="G74" s="51">
        <f t="shared" si="3"/>
        <v>1.0476756471209721</v>
      </c>
      <c r="H74" s="51">
        <f t="shared" si="4"/>
        <v>0.65652465385585645</v>
      </c>
      <c r="I74" s="51">
        <v>0.68300000000000005</v>
      </c>
      <c r="J74" s="51">
        <f t="shared" si="5"/>
        <v>2.6475346144143597E-2</v>
      </c>
    </row>
    <row r="75" spans="1:10" x14ac:dyDescent="0.35">
      <c r="A75" s="30" t="s">
        <v>124</v>
      </c>
      <c r="B75" s="30" t="s">
        <v>119</v>
      </c>
      <c r="C75" s="30">
        <v>57</v>
      </c>
      <c r="D75" s="30">
        <v>25</v>
      </c>
      <c r="E75" s="30">
        <v>8850</v>
      </c>
      <c r="F75" s="30">
        <v>8278</v>
      </c>
      <c r="G75" s="51">
        <f t="shared" si="3"/>
        <v>1.0690988161391641</v>
      </c>
      <c r="H75" s="51">
        <f t="shared" si="4"/>
        <v>0.71695587103243719</v>
      </c>
      <c r="I75" s="51">
        <v>0.69499999999999995</v>
      </c>
      <c r="J75" s="51">
        <f t="shared" si="5"/>
        <v>2.1955871032437235E-2</v>
      </c>
    </row>
    <row r="76" spans="1:10" x14ac:dyDescent="0.35">
      <c r="A76" s="30" t="s">
        <v>124</v>
      </c>
      <c r="B76" s="30" t="s">
        <v>93</v>
      </c>
      <c r="C76" s="30">
        <v>27</v>
      </c>
      <c r="D76" s="30">
        <v>55</v>
      </c>
      <c r="E76" s="30">
        <v>8442</v>
      </c>
      <c r="F76" s="30">
        <v>8958</v>
      </c>
      <c r="G76" s="51">
        <f t="shared" si="3"/>
        <v>0.94239785666443399</v>
      </c>
      <c r="H76" s="51">
        <f t="shared" si="4"/>
        <v>0.30465060795977644</v>
      </c>
      <c r="I76" s="51">
        <v>0.32900000000000001</v>
      </c>
      <c r="J76" s="51">
        <f t="shared" si="5"/>
        <v>2.4349392040223572E-2</v>
      </c>
    </row>
    <row r="77" spans="1:10" x14ac:dyDescent="0.35">
      <c r="A77" s="30" t="s">
        <v>124</v>
      </c>
      <c r="B77" s="30" t="s">
        <v>121</v>
      </c>
      <c r="C77" s="30">
        <v>50</v>
      </c>
      <c r="D77" s="30">
        <v>32</v>
      </c>
      <c r="E77" s="30">
        <v>7884</v>
      </c>
      <c r="F77" s="30">
        <v>7755</v>
      </c>
      <c r="G77" s="51">
        <f t="shared" si="3"/>
        <v>1.0166344294003868</v>
      </c>
      <c r="H77" s="51">
        <f t="shared" si="4"/>
        <v>0.55711992852944192</v>
      </c>
      <c r="I77" s="51">
        <v>0.61</v>
      </c>
      <c r="J77" s="51">
        <f t="shared" si="5"/>
        <v>5.2880071470558065E-2</v>
      </c>
    </row>
    <row r="78" spans="1:10" x14ac:dyDescent="0.35">
      <c r="A78" s="30" t="s">
        <v>124</v>
      </c>
      <c r="B78" s="30" t="s">
        <v>109</v>
      </c>
      <c r="C78" s="30">
        <v>54</v>
      </c>
      <c r="D78" s="30">
        <v>28</v>
      </c>
      <c r="E78" s="30">
        <v>8380</v>
      </c>
      <c r="F78" s="30">
        <v>7990</v>
      </c>
      <c r="G78" s="51">
        <f t="shared" si="3"/>
        <v>1.0488110137672091</v>
      </c>
      <c r="H78" s="51">
        <f t="shared" si="4"/>
        <v>0.65991400570031433</v>
      </c>
      <c r="I78" s="51">
        <v>0.65900000000000003</v>
      </c>
      <c r="J78" s="51">
        <f t="shared" si="5"/>
        <v>9.1400570031430206E-4</v>
      </c>
    </row>
    <row r="79" spans="1:10" x14ac:dyDescent="0.35">
      <c r="A79" s="30" t="s">
        <v>124</v>
      </c>
      <c r="B79" s="30" t="s">
        <v>94</v>
      </c>
      <c r="C79" s="30">
        <v>15</v>
      </c>
      <c r="D79" s="30">
        <v>67</v>
      </c>
      <c r="E79" s="30">
        <v>7829</v>
      </c>
      <c r="F79" s="30">
        <v>8500</v>
      </c>
      <c r="G79" s="51">
        <f t="shared" si="3"/>
        <v>0.92105882352941182</v>
      </c>
      <c r="H79" s="51">
        <f t="shared" si="4"/>
        <v>0.24161631708435746</v>
      </c>
      <c r="I79" s="51">
        <v>0.183</v>
      </c>
      <c r="J79" s="51">
        <f t="shared" si="5"/>
        <v>5.8616317084357467E-2</v>
      </c>
    </row>
    <row r="80" spans="1:10" x14ac:dyDescent="0.35">
      <c r="A80" s="30" t="s">
        <v>124</v>
      </c>
      <c r="B80" s="30" t="s">
        <v>95</v>
      </c>
      <c r="C80" s="30">
        <v>40</v>
      </c>
      <c r="D80" s="30">
        <v>42</v>
      </c>
      <c r="E80" s="30">
        <v>8768</v>
      </c>
      <c r="F80" s="30">
        <v>8549</v>
      </c>
      <c r="G80" s="51">
        <f t="shared" si="3"/>
        <v>1.025617031231723</v>
      </c>
      <c r="H80" s="51">
        <f t="shared" si="4"/>
        <v>0.58706498458892786</v>
      </c>
      <c r="I80" s="51">
        <v>0.48799999999999999</v>
      </c>
      <c r="J80" s="51">
        <f t="shared" si="5"/>
        <v>9.9064984588927874E-2</v>
      </c>
    </row>
    <row r="81" spans="1:10" x14ac:dyDescent="0.35">
      <c r="A81" s="30" t="s">
        <v>124</v>
      </c>
      <c r="B81" s="30" t="s">
        <v>96</v>
      </c>
      <c r="C81" s="30">
        <v>34</v>
      </c>
      <c r="D81" s="30">
        <v>48</v>
      </c>
      <c r="E81" s="30">
        <v>8177</v>
      </c>
      <c r="F81" s="30">
        <v>8399</v>
      </c>
      <c r="G81" s="51">
        <f t="shared" si="3"/>
        <v>0.97356828193832601</v>
      </c>
      <c r="H81" s="51">
        <f t="shared" si="4"/>
        <v>0.4079101264272223</v>
      </c>
      <c r="I81" s="51">
        <v>0.41499999999999998</v>
      </c>
      <c r="J81" s="51">
        <f t="shared" si="5"/>
        <v>7.0898735727776829E-3</v>
      </c>
    </row>
    <row r="82" spans="1:10" x14ac:dyDescent="0.35">
      <c r="A82" s="30" t="s">
        <v>124</v>
      </c>
      <c r="B82" s="30" t="s">
        <v>97</v>
      </c>
      <c r="C82" s="30">
        <v>37</v>
      </c>
      <c r="D82" s="30">
        <v>45</v>
      </c>
      <c r="E82" s="30">
        <v>8084</v>
      </c>
      <c r="F82" s="30">
        <v>8149</v>
      </c>
      <c r="G82" s="51">
        <f t="shared" si="3"/>
        <v>0.99202356117315005</v>
      </c>
      <c r="H82" s="51">
        <f t="shared" si="4"/>
        <v>0.47217948021178274</v>
      </c>
      <c r="I82" s="51">
        <v>0.45100000000000001</v>
      </c>
      <c r="J82" s="51">
        <f t="shared" si="5"/>
        <v>2.1179480211782731E-2</v>
      </c>
    </row>
    <row r="83" spans="1:10" x14ac:dyDescent="0.35">
      <c r="A83" s="30" t="s">
        <v>124</v>
      </c>
      <c r="B83" s="30" t="s">
        <v>110</v>
      </c>
      <c r="C83" s="30">
        <v>59</v>
      </c>
      <c r="D83" s="30">
        <v>23</v>
      </c>
      <c r="E83" s="30">
        <v>8705</v>
      </c>
      <c r="F83" s="30">
        <v>8185</v>
      </c>
      <c r="G83" s="51">
        <f t="shared" si="3"/>
        <v>1.0635308491142335</v>
      </c>
      <c r="H83" s="51">
        <f t="shared" si="4"/>
        <v>0.70198695927315347</v>
      </c>
      <c r="I83" s="51">
        <v>0.72</v>
      </c>
      <c r="J83" s="51">
        <f t="shared" si="5"/>
        <v>1.8013040726846508E-2</v>
      </c>
    </row>
    <row r="84" spans="1:10" x14ac:dyDescent="0.35">
      <c r="A84" s="30" t="s">
        <v>124</v>
      </c>
      <c r="B84" s="30" t="s">
        <v>98</v>
      </c>
      <c r="C84" s="30">
        <v>23</v>
      </c>
      <c r="D84" s="30">
        <v>59</v>
      </c>
      <c r="E84" s="30">
        <v>7914</v>
      </c>
      <c r="F84" s="30">
        <v>8360</v>
      </c>
      <c r="G84" s="51">
        <f t="shared" si="3"/>
        <v>0.9466507177033493</v>
      </c>
      <c r="H84" s="51">
        <f t="shared" si="4"/>
        <v>0.31807837433022296</v>
      </c>
      <c r="I84" s="51">
        <v>0.28000000000000003</v>
      </c>
      <c r="J84" s="51">
        <f t="shared" si="5"/>
        <v>3.807837433022293E-2</v>
      </c>
    </row>
    <row r="85" spans="1:10" x14ac:dyDescent="0.35">
      <c r="A85" s="30" t="s">
        <v>124</v>
      </c>
      <c r="B85" s="30" t="s">
        <v>99</v>
      </c>
      <c r="C85" s="30">
        <v>19</v>
      </c>
      <c r="D85" s="30">
        <v>63</v>
      </c>
      <c r="E85" s="30">
        <v>8155</v>
      </c>
      <c r="F85" s="30">
        <v>9012</v>
      </c>
      <c r="G85" s="51">
        <f t="shared" si="3"/>
        <v>0.90490457168220151</v>
      </c>
      <c r="H85" s="51">
        <f t="shared" si="4"/>
        <v>0.19941291497849786</v>
      </c>
      <c r="I85" s="51">
        <v>0.23200000000000001</v>
      </c>
      <c r="J85" s="51">
        <f t="shared" si="5"/>
        <v>3.2587085021502149E-2</v>
      </c>
    </row>
    <row r="86" spans="1:10" x14ac:dyDescent="0.35">
      <c r="A86" s="30" t="s">
        <v>124</v>
      </c>
      <c r="B86" s="30" t="s">
        <v>100</v>
      </c>
      <c r="C86" s="30">
        <v>48</v>
      </c>
      <c r="D86" s="30">
        <v>34</v>
      </c>
      <c r="E86" s="30">
        <v>8629</v>
      </c>
      <c r="F86" s="30">
        <v>8413</v>
      </c>
      <c r="G86" s="51">
        <f t="shared" si="3"/>
        <v>1.0256745512896708</v>
      </c>
      <c r="H86" s="51">
        <f t="shared" si="4"/>
        <v>0.58725408279707281</v>
      </c>
      <c r="I86" s="51">
        <v>0.58499999999999996</v>
      </c>
      <c r="J86" s="51">
        <f t="shared" si="5"/>
        <v>2.2540827970728428E-3</v>
      </c>
    </row>
    <row r="87" spans="1:10" x14ac:dyDescent="0.35">
      <c r="A87" s="30" t="s">
        <v>124</v>
      </c>
      <c r="B87" s="30" t="s">
        <v>114</v>
      </c>
      <c r="C87" s="30">
        <v>54</v>
      </c>
      <c r="D87" s="30">
        <v>28</v>
      </c>
      <c r="E87" s="30">
        <v>8753</v>
      </c>
      <c r="F87" s="30">
        <v>8426</v>
      </c>
      <c r="G87" s="51">
        <f t="shared" si="3"/>
        <v>1.0388084500356041</v>
      </c>
      <c r="H87" s="51">
        <f t="shared" si="4"/>
        <v>0.62939307968963865</v>
      </c>
      <c r="I87" s="51">
        <v>0.65900000000000003</v>
      </c>
      <c r="J87" s="51">
        <f t="shared" si="5"/>
        <v>2.9606920310361384E-2</v>
      </c>
    </row>
    <row r="88" spans="1:10" x14ac:dyDescent="0.35">
      <c r="A88" s="30" t="s">
        <v>124</v>
      </c>
      <c r="B88" s="30" t="s">
        <v>101</v>
      </c>
      <c r="C88" s="30">
        <v>28</v>
      </c>
      <c r="D88" s="30">
        <v>54</v>
      </c>
      <c r="E88" s="30">
        <v>8241</v>
      </c>
      <c r="F88" s="30">
        <v>8479</v>
      </c>
      <c r="G88" s="51">
        <f t="shared" si="3"/>
        <v>0.97193065219955188</v>
      </c>
      <c r="H88" s="51">
        <f t="shared" si="4"/>
        <v>0.40226675405909634</v>
      </c>
      <c r="I88" s="51">
        <v>0.34100000000000003</v>
      </c>
      <c r="J88" s="51">
        <f t="shared" si="5"/>
        <v>6.1266754059096318E-2</v>
      </c>
    </row>
    <row r="89" spans="1:10" x14ac:dyDescent="0.35">
      <c r="A89" s="30" t="s">
        <v>124</v>
      </c>
      <c r="B89" s="30" t="s">
        <v>123</v>
      </c>
      <c r="C89" s="30">
        <v>62</v>
      </c>
      <c r="D89" s="30">
        <v>20</v>
      </c>
      <c r="E89" s="30">
        <v>8639</v>
      </c>
      <c r="F89" s="30">
        <v>8006</v>
      </c>
      <c r="G89" s="51">
        <f t="shared" si="3"/>
        <v>1.0790657007244566</v>
      </c>
      <c r="H89" s="51">
        <f t="shared" si="4"/>
        <v>0.7424017705768774</v>
      </c>
      <c r="I89" s="51">
        <v>0.75600000000000001</v>
      </c>
      <c r="J89" s="51">
        <f t="shared" si="5"/>
        <v>1.359822942312261E-2</v>
      </c>
    </row>
    <row r="90" spans="1:10" x14ac:dyDescent="0.35">
      <c r="A90" s="30" t="s">
        <v>124</v>
      </c>
      <c r="B90" s="30" t="s">
        <v>115</v>
      </c>
      <c r="C90" s="30">
        <v>48</v>
      </c>
      <c r="D90" s="30">
        <v>34</v>
      </c>
      <c r="E90" s="30">
        <v>8305</v>
      </c>
      <c r="F90" s="30">
        <v>8039</v>
      </c>
      <c r="G90" s="51">
        <f t="shared" si="3"/>
        <v>1.0330886926234606</v>
      </c>
      <c r="H90" s="51">
        <f t="shared" si="4"/>
        <v>0.61130780952314678</v>
      </c>
      <c r="I90" s="51">
        <v>0.58499999999999996</v>
      </c>
      <c r="J90" s="51">
        <f t="shared" si="5"/>
        <v>2.6307809523146819E-2</v>
      </c>
    </row>
    <row r="91" spans="1:10" x14ac:dyDescent="0.35">
      <c r="A91" s="30" t="s">
        <v>124</v>
      </c>
      <c r="B91" s="30" t="s">
        <v>102</v>
      </c>
      <c r="C91" s="30">
        <v>25</v>
      </c>
      <c r="D91" s="30">
        <v>57</v>
      </c>
      <c r="E91" s="30">
        <v>7791</v>
      </c>
      <c r="F91" s="30">
        <v>8379</v>
      </c>
      <c r="G91" s="51">
        <f t="shared" si="3"/>
        <v>0.92982456140350878</v>
      </c>
      <c r="H91" s="51">
        <f t="shared" si="4"/>
        <v>0.26657247689451458</v>
      </c>
      <c r="I91" s="51">
        <v>0.30499999999999999</v>
      </c>
      <c r="J91" s="51">
        <f t="shared" si="5"/>
        <v>3.8427523105485417E-2</v>
      </c>
    </row>
    <row r="92" spans="1:10" x14ac:dyDescent="0.35">
      <c r="A92" s="30" t="s">
        <v>124</v>
      </c>
      <c r="B92" s="30" t="s">
        <v>103</v>
      </c>
      <c r="C92" s="30">
        <v>44</v>
      </c>
      <c r="D92" s="30">
        <v>38</v>
      </c>
      <c r="E92" s="30">
        <v>8254</v>
      </c>
      <c r="F92" s="30">
        <v>8150</v>
      </c>
      <c r="G92" s="51">
        <f t="shared" si="3"/>
        <v>1.0127607361963191</v>
      </c>
      <c r="H92" s="51">
        <f t="shared" si="4"/>
        <v>0.54398075497493015</v>
      </c>
      <c r="I92" s="51">
        <v>0.53700000000000003</v>
      </c>
      <c r="J92" s="51">
        <f t="shared" si="5"/>
        <v>6.9807549749301145E-3</v>
      </c>
    </row>
    <row r="93" spans="1:10" x14ac:dyDescent="0.35">
      <c r="A93" s="30" t="s">
        <v>125</v>
      </c>
      <c r="B93" s="30" t="s">
        <v>122</v>
      </c>
      <c r="C93" s="30">
        <v>44</v>
      </c>
      <c r="D93" s="30">
        <v>38</v>
      </c>
      <c r="E93" s="30">
        <v>8032</v>
      </c>
      <c r="F93" s="30">
        <v>7999</v>
      </c>
      <c r="G93" s="51">
        <f t="shared" si="3"/>
        <v>1.0041255156894613</v>
      </c>
      <c r="H93" s="51">
        <f t="shared" si="4"/>
        <v>0.51431305707907471</v>
      </c>
      <c r="I93" s="51">
        <v>0.53700000000000003</v>
      </c>
      <c r="J93" s="51">
        <f t="shared" si="5"/>
        <v>2.2686942920925324E-2</v>
      </c>
    </row>
    <row r="94" spans="1:10" x14ac:dyDescent="0.35">
      <c r="A94" s="30" t="s">
        <v>125</v>
      </c>
      <c r="B94" s="30" t="s">
        <v>111</v>
      </c>
      <c r="C94" s="30">
        <v>41</v>
      </c>
      <c r="D94" s="30">
        <v>40</v>
      </c>
      <c r="E94" s="30">
        <v>7818</v>
      </c>
      <c r="F94" s="30">
        <v>7836</v>
      </c>
      <c r="G94" s="51">
        <f t="shared" si="3"/>
        <v>0.99770290964777952</v>
      </c>
      <c r="H94" s="51">
        <f t="shared" si="4"/>
        <v>0.49200336140681489</v>
      </c>
      <c r="I94" s="51">
        <v>0.50600000000000001</v>
      </c>
      <c r="J94" s="51">
        <f t="shared" si="5"/>
        <v>1.3996638593185118E-2</v>
      </c>
    </row>
    <row r="95" spans="1:10" x14ac:dyDescent="0.35">
      <c r="A95" s="30" t="s">
        <v>125</v>
      </c>
      <c r="B95" s="30" t="s">
        <v>90</v>
      </c>
      <c r="C95" s="30">
        <v>49</v>
      </c>
      <c r="D95" s="30">
        <v>33</v>
      </c>
      <c r="E95" s="30">
        <v>7944</v>
      </c>
      <c r="F95" s="30">
        <v>7798</v>
      </c>
      <c r="G95" s="51">
        <f t="shared" si="3"/>
        <v>1.018722749422929</v>
      </c>
      <c r="H95" s="51">
        <f t="shared" si="4"/>
        <v>0.56415083924666487</v>
      </c>
      <c r="I95" s="51">
        <v>0.59799999999999998</v>
      </c>
      <c r="J95" s="51">
        <f t="shared" si="5"/>
        <v>3.3849160753335106E-2</v>
      </c>
    </row>
    <row r="96" spans="1:10" x14ac:dyDescent="0.35">
      <c r="A96" s="30" t="s">
        <v>125</v>
      </c>
      <c r="B96" s="30" t="s">
        <v>106</v>
      </c>
      <c r="C96" s="30">
        <v>21</v>
      </c>
      <c r="D96" s="30">
        <v>61</v>
      </c>
      <c r="E96" s="30">
        <v>7661</v>
      </c>
      <c r="F96" s="30">
        <v>8418</v>
      </c>
      <c r="G96" s="51">
        <f t="shared" si="3"/>
        <v>0.91007365169874077</v>
      </c>
      <c r="H96" s="51">
        <f t="shared" si="4"/>
        <v>0.21236374785506265</v>
      </c>
      <c r="I96" s="51">
        <v>0.25600000000000001</v>
      </c>
      <c r="J96" s="51">
        <f t="shared" si="5"/>
        <v>4.3636252144937354E-2</v>
      </c>
    </row>
    <row r="97" spans="1:10" x14ac:dyDescent="0.35">
      <c r="A97" s="30" t="s">
        <v>125</v>
      </c>
      <c r="B97" s="30" t="s">
        <v>91</v>
      </c>
      <c r="C97" s="30">
        <v>45</v>
      </c>
      <c r="D97" s="30">
        <v>37</v>
      </c>
      <c r="E97" s="30">
        <v>7641</v>
      </c>
      <c r="F97" s="30">
        <v>7615</v>
      </c>
      <c r="G97" s="51">
        <f t="shared" si="3"/>
        <v>1.0034143138542351</v>
      </c>
      <c r="H97" s="51">
        <f t="shared" si="4"/>
        <v>0.51185083301018974</v>
      </c>
      <c r="I97" s="51">
        <v>0.54900000000000004</v>
      </c>
      <c r="J97" s="51">
        <f t="shared" si="5"/>
        <v>3.7149166989810301E-2</v>
      </c>
    </row>
    <row r="98" spans="1:10" x14ac:dyDescent="0.35">
      <c r="A98" s="30" t="s">
        <v>125</v>
      </c>
      <c r="B98" s="30" t="s">
        <v>112</v>
      </c>
      <c r="C98" s="30">
        <v>24</v>
      </c>
      <c r="D98" s="30">
        <v>58</v>
      </c>
      <c r="E98" s="30">
        <v>7913</v>
      </c>
      <c r="F98" s="30">
        <v>8297</v>
      </c>
      <c r="G98" s="51">
        <f t="shared" si="3"/>
        <v>0.95371821140171142</v>
      </c>
      <c r="H98" s="51">
        <f t="shared" si="4"/>
        <v>0.3409297812474848</v>
      </c>
      <c r="I98" s="51">
        <v>0.29299999999999998</v>
      </c>
      <c r="J98" s="51">
        <f t="shared" si="5"/>
        <v>4.7929781247484815E-2</v>
      </c>
    </row>
    <row r="99" spans="1:10" x14ac:dyDescent="0.35">
      <c r="A99" s="30" t="s">
        <v>125</v>
      </c>
      <c r="B99" s="30" t="s">
        <v>113</v>
      </c>
      <c r="C99" s="30">
        <v>41</v>
      </c>
      <c r="D99" s="30">
        <v>41</v>
      </c>
      <c r="E99" s="30">
        <v>8293</v>
      </c>
      <c r="F99" s="30">
        <v>8342</v>
      </c>
      <c r="G99" s="51">
        <f t="shared" si="3"/>
        <v>0.99412610884679931</v>
      </c>
      <c r="H99" s="51">
        <f t="shared" si="4"/>
        <v>0.47952477293191026</v>
      </c>
      <c r="I99" s="51">
        <v>0.5</v>
      </c>
      <c r="J99" s="51">
        <f t="shared" si="5"/>
        <v>2.0475227068089741E-2</v>
      </c>
    </row>
    <row r="100" spans="1:10" x14ac:dyDescent="0.35">
      <c r="A100" s="30" t="s">
        <v>125</v>
      </c>
      <c r="B100" s="30" t="s">
        <v>92</v>
      </c>
      <c r="C100" s="30">
        <v>57</v>
      </c>
      <c r="D100" s="30">
        <v>25</v>
      </c>
      <c r="E100" s="30">
        <v>8704</v>
      </c>
      <c r="F100" s="30">
        <v>8287</v>
      </c>
      <c r="G100" s="51">
        <f t="shared" si="3"/>
        <v>1.050319777965488</v>
      </c>
      <c r="H100" s="51">
        <f t="shared" si="4"/>
        <v>0.66438716382642637</v>
      </c>
      <c r="I100" s="51">
        <v>0.69499999999999995</v>
      </c>
      <c r="J100" s="51">
        <f t="shared" si="5"/>
        <v>3.0612836173573577E-2</v>
      </c>
    </row>
    <row r="101" spans="1:10" x14ac:dyDescent="0.35">
      <c r="A101" s="30" t="s">
        <v>125</v>
      </c>
      <c r="B101" s="30" t="s">
        <v>107</v>
      </c>
      <c r="C101" s="30">
        <v>29</v>
      </c>
      <c r="D101" s="30">
        <v>53</v>
      </c>
      <c r="E101" s="30">
        <v>7778</v>
      </c>
      <c r="F101" s="30">
        <v>8105</v>
      </c>
      <c r="G101" s="51">
        <f t="shared" si="3"/>
        <v>0.95965453423812463</v>
      </c>
      <c r="H101" s="51">
        <f t="shared" si="4"/>
        <v>0.36058165307183121</v>
      </c>
      <c r="I101" s="51">
        <v>0.35399999999999998</v>
      </c>
      <c r="J101" s="51">
        <f t="shared" si="5"/>
        <v>6.5816530718312283E-3</v>
      </c>
    </row>
    <row r="102" spans="1:10" x14ac:dyDescent="0.35">
      <c r="A102" s="30" t="s">
        <v>125</v>
      </c>
      <c r="B102" s="30" t="s">
        <v>116</v>
      </c>
      <c r="C102" s="30">
        <v>47</v>
      </c>
      <c r="D102" s="30">
        <v>35</v>
      </c>
      <c r="E102" s="30">
        <v>8296</v>
      </c>
      <c r="F102" s="30">
        <v>8223</v>
      </c>
      <c r="G102" s="51">
        <f t="shared" si="3"/>
        <v>1.0088775386112125</v>
      </c>
      <c r="H102" s="51">
        <f t="shared" si="4"/>
        <v>0.5306967595763501</v>
      </c>
      <c r="I102" s="51">
        <v>0.57299999999999995</v>
      </c>
      <c r="J102" s="51">
        <f t="shared" si="5"/>
        <v>4.2303240423649857E-2</v>
      </c>
    </row>
    <row r="103" spans="1:10" x14ac:dyDescent="0.35">
      <c r="A103" s="30" t="s">
        <v>125</v>
      </c>
      <c r="B103" s="30" t="s">
        <v>117</v>
      </c>
      <c r="C103" s="30">
        <v>45</v>
      </c>
      <c r="D103" s="30">
        <v>37</v>
      </c>
      <c r="E103" s="30">
        <v>8688</v>
      </c>
      <c r="F103" s="30">
        <v>8403</v>
      </c>
      <c r="G103" s="51">
        <f t="shared" si="3"/>
        <v>1.0339164584077116</v>
      </c>
      <c r="H103" s="51">
        <f t="shared" si="4"/>
        <v>0.61395171611880595</v>
      </c>
      <c r="I103" s="51">
        <v>0.54900000000000004</v>
      </c>
      <c r="J103" s="51">
        <f t="shared" si="5"/>
        <v>6.4951716118805902E-2</v>
      </c>
    </row>
    <row r="104" spans="1:10" x14ac:dyDescent="0.35">
      <c r="A104" s="30" t="s">
        <v>125</v>
      </c>
      <c r="B104" s="30" t="s">
        <v>108</v>
      </c>
      <c r="C104" s="30">
        <v>49</v>
      </c>
      <c r="D104" s="30">
        <v>32</v>
      </c>
      <c r="E104" s="30">
        <v>7674</v>
      </c>
      <c r="F104" s="30">
        <v>7348</v>
      </c>
      <c r="G104" s="51">
        <f t="shared" si="3"/>
        <v>1.0443658138268916</v>
      </c>
      <c r="H104" s="51">
        <f t="shared" si="4"/>
        <v>0.64653221070881872</v>
      </c>
      <c r="I104" s="51">
        <v>0.60499999999999998</v>
      </c>
      <c r="J104" s="51">
        <f t="shared" si="5"/>
        <v>4.153221070881874E-2</v>
      </c>
    </row>
    <row r="105" spans="1:10" x14ac:dyDescent="0.35">
      <c r="A105" s="30" t="s">
        <v>125</v>
      </c>
      <c r="B105" s="30" t="s">
        <v>119</v>
      </c>
      <c r="C105" s="30">
        <v>56</v>
      </c>
      <c r="D105" s="30">
        <v>26</v>
      </c>
      <c r="E105" s="30">
        <v>8289</v>
      </c>
      <c r="F105" s="30">
        <v>7760</v>
      </c>
      <c r="G105" s="51">
        <f t="shared" si="3"/>
        <v>1.0681701030927835</v>
      </c>
      <c r="H105" s="51">
        <f t="shared" si="4"/>
        <v>0.71449628889965044</v>
      </c>
      <c r="I105" s="51">
        <v>0.68300000000000005</v>
      </c>
      <c r="J105" s="51">
        <f t="shared" si="5"/>
        <v>3.1496288899650393E-2</v>
      </c>
    </row>
    <row r="106" spans="1:10" x14ac:dyDescent="0.35">
      <c r="A106" s="30" t="s">
        <v>125</v>
      </c>
      <c r="B106" s="30" t="s">
        <v>93</v>
      </c>
      <c r="C106" s="30">
        <v>45</v>
      </c>
      <c r="D106" s="30">
        <v>37</v>
      </c>
      <c r="E106" s="30">
        <v>8381</v>
      </c>
      <c r="F106" s="30">
        <v>8286</v>
      </c>
      <c r="G106" s="51">
        <f t="shared" si="3"/>
        <v>1.0114651218923485</v>
      </c>
      <c r="H106" s="51">
        <f t="shared" si="4"/>
        <v>0.53956027509596316</v>
      </c>
      <c r="I106" s="51">
        <v>0.54900000000000004</v>
      </c>
      <c r="J106" s="51">
        <f t="shared" si="5"/>
        <v>9.4397249040368836E-3</v>
      </c>
    </row>
    <row r="107" spans="1:10" x14ac:dyDescent="0.35">
      <c r="A107" s="30" t="s">
        <v>125</v>
      </c>
      <c r="B107" s="30" t="s">
        <v>121</v>
      </c>
      <c r="C107" s="30">
        <v>56</v>
      </c>
      <c r="D107" s="30">
        <v>26</v>
      </c>
      <c r="E107" s="30">
        <v>7659</v>
      </c>
      <c r="F107" s="30">
        <v>7319</v>
      </c>
      <c r="G107" s="51">
        <f t="shared" si="3"/>
        <v>1.0464544336658013</v>
      </c>
      <c r="H107" s="51">
        <f t="shared" si="4"/>
        <v>0.65285701638040461</v>
      </c>
      <c r="I107" s="51">
        <v>0.68300000000000005</v>
      </c>
      <c r="J107" s="51">
        <f t="shared" si="5"/>
        <v>3.0142983619595443E-2</v>
      </c>
    </row>
    <row r="108" spans="1:10" x14ac:dyDescent="0.35">
      <c r="A108" s="30" t="s">
        <v>125</v>
      </c>
      <c r="B108" s="30" t="s">
        <v>109</v>
      </c>
      <c r="C108" s="30">
        <v>66</v>
      </c>
      <c r="D108" s="30">
        <v>16</v>
      </c>
      <c r="E108" s="30">
        <v>8436</v>
      </c>
      <c r="F108" s="30">
        <v>7791</v>
      </c>
      <c r="G108" s="51">
        <f t="shared" si="3"/>
        <v>1.0827878321139777</v>
      </c>
      <c r="H108" s="51">
        <f t="shared" si="4"/>
        <v>0.75145512187441499</v>
      </c>
      <c r="I108" s="51">
        <v>0.80500000000000005</v>
      </c>
      <c r="J108" s="51">
        <f t="shared" si="5"/>
        <v>5.354487812558506E-2</v>
      </c>
    </row>
    <row r="109" spans="1:10" x14ac:dyDescent="0.35">
      <c r="A109" s="30" t="s">
        <v>125</v>
      </c>
      <c r="B109" s="30" t="s">
        <v>94</v>
      </c>
      <c r="C109" s="30">
        <v>38</v>
      </c>
      <c r="D109" s="30">
        <v>44</v>
      </c>
      <c r="E109" s="30">
        <v>8108</v>
      </c>
      <c r="F109" s="30">
        <v>8231</v>
      </c>
      <c r="G109" s="51">
        <f t="shared" si="3"/>
        <v>0.98505649374316606</v>
      </c>
      <c r="H109" s="51">
        <f t="shared" si="4"/>
        <v>0.44783231052973838</v>
      </c>
      <c r="I109" s="51">
        <v>0.46300000000000002</v>
      </c>
      <c r="J109" s="51">
        <f t="shared" si="5"/>
        <v>1.5167689470261647E-2</v>
      </c>
    </row>
    <row r="110" spans="1:10" x14ac:dyDescent="0.35">
      <c r="A110" s="30" t="s">
        <v>125</v>
      </c>
      <c r="B110" s="30" t="s">
        <v>95</v>
      </c>
      <c r="C110" s="30">
        <v>31</v>
      </c>
      <c r="D110" s="30">
        <v>51</v>
      </c>
      <c r="E110" s="30">
        <v>7851</v>
      </c>
      <c r="F110" s="30">
        <v>8045</v>
      </c>
      <c r="G110" s="51">
        <f t="shared" si="3"/>
        <v>0.97588564325668115</v>
      </c>
      <c r="H110" s="51">
        <f t="shared" si="4"/>
        <v>0.41592091308337142</v>
      </c>
      <c r="I110" s="51">
        <v>0.378</v>
      </c>
      <c r="J110" s="51">
        <f t="shared" si="5"/>
        <v>3.7920913083371421E-2</v>
      </c>
    </row>
    <row r="111" spans="1:10" x14ac:dyDescent="0.35">
      <c r="A111" s="30" t="s">
        <v>125</v>
      </c>
      <c r="B111" s="30" t="s">
        <v>96</v>
      </c>
      <c r="C111" s="30">
        <v>27</v>
      </c>
      <c r="D111" s="30">
        <v>55</v>
      </c>
      <c r="E111" s="30">
        <v>7714</v>
      </c>
      <c r="F111" s="30">
        <v>8031</v>
      </c>
      <c r="G111" s="51">
        <f t="shared" si="3"/>
        <v>0.96052795417756198</v>
      </c>
      <c r="H111" s="51">
        <f t="shared" si="4"/>
        <v>0.36350437530215862</v>
      </c>
      <c r="I111" s="51">
        <v>0.32900000000000001</v>
      </c>
      <c r="J111" s="51">
        <f t="shared" si="5"/>
        <v>3.4504375302158607E-2</v>
      </c>
    </row>
    <row r="112" spans="1:10" x14ac:dyDescent="0.35">
      <c r="A112" s="30" t="s">
        <v>125</v>
      </c>
      <c r="B112" s="30" t="s">
        <v>97</v>
      </c>
      <c r="C112" s="30">
        <v>54</v>
      </c>
      <c r="D112" s="30">
        <v>28</v>
      </c>
      <c r="E112" s="30">
        <v>8196</v>
      </c>
      <c r="F112" s="30">
        <v>7849</v>
      </c>
      <c r="G112" s="51">
        <f t="shared" si="3"/>
        <v>1.0442094534335584</v>
      </c>
      <c r="H112" s="51">
        <f t="shared" si="4"/>
        <v>0.64605610195706742</v>
      </c>
      <c r="I112" s="51">
        <v>0.65900000000000003</v>
      </c>
      <c r="J112" s="51">
        <f t="shared" si="5"/>
        <v>1.2943898042932611E-2</v>
      </c>
    </row>
    <row r="113" spans="1:10" x14ac:dyDescent="0.35">
      <c r="A113" s="30" t="s">
        <v>125</v>
      </c>
      <c r="B113" s="30" t="s">
        <v>110</v>
      </c>
      <c r="C113" s="30">
        <v>60</v>
      </c>
      <c r="D113" s="30">
        <v>22</v>
      </c>
      <c r="E113" s="30">
        <v>8669</v>
      </c>
      <c r="F113" s="30">
        <v>7914</v>
      </c>
      <c r="G113" s="51">
        <f t="shared" si="3"/>
        <v>1.0954005559767501</v>
      </c>
      <c r="H113" s="51">
        <f t="shared" si="4"/>
        <v>0.78031116380400922</v>
      </c>
      <c r="I113" s="51">
        <v>0.73199999999999998</v>
      </c>
      <c r="J113" s="51">
        <f t="shared" si="5"/>
        <v>4.8311163804009238E-2</v>
      </c>
    </row>
    <row r="114" spans="1:10" x14ac:dyDescent="0.35">
      <c r="A114" s="30" t="s">
        <v>125</v>
      </c>
      <c r="B114" s="30" t="s">
        <v>98</v>
      </c>
      <c r="C114" s="30">
        <v>20</v>
      </c>
      <c r="D114" s="30">
        <v>62</v>
      </c>
      <c r="E114" s="30">
        <v>7718</v>
      </c>
      <c r="F114" s="30">
        <v>8291</v>
      </c>
      <c r="G114" s="51">
        <f t="shared" si="3"/>
        <v>0.93088891569171395</v>
      </c>
      <c r="H114" s="51">
        <f t="shared" si="4"/>
        <v>0.2696952716720431</v>
      </c>
      <c r="I114" s="51">
        <v>0.24399999999999999</v>
      </c>
      <c r="J114" s="51">
        <f t="shared" si="5"/>
        <v>2.5695271672043107E-2</v>
      </c>
    </row>
    <row r="115" spans="1:10" x14ac:dyDescent="0.35">
      <c r="A115" s="30" t="s">
        <v>125</v>
      </c>
      <c r="B115" s="30" t="s">
        <v>99</v>
      </c>
      <c r="C115" s="30">
        <v>34</v>
      </c>
      <c r="D115" s="30">
        <v>48</v>
      </c>
      <c r="E115" s="30">
        <v>7640</v>
      </c>
      <c r="F115" s="30">
        <v>7914</v>
      </c>
      <c r="G115" s="51">
        <f t="shared" si="3"/>
        <v>0.96537781147333834</v>
      </c>
      <c r="H115" s="51">
        <f t="shared" si="4"/>
        <v>0.37986314594920689</v>
      </c>
      <c r="I115" s="51">
        <v>0.41499999999999998</v>
      </c>
      <c r="J115" s="51">
        <f t="shared" si="5"/>
        <v>3.5136854050793087E-2</v>
      </c>
    </row>
    <row r="116" spans="1:10" x14ac:dyDescent="0.35">
      <c r="A116" s="30" t="s">
        <v>125</v>
      </c>
      <c r="B116" s="30" t="s">
        <v>100</v>
      </c>
      <c r="C116" s="30">
        <v>25</v>
      </c>
      <c r="D116" s="30">
        <v>57</v>
      </c>
      <c r="E116" s="30">
        <v>7805</v>
      </c>
      <c r="F116" s="30">
        <v>8335</v>
      </c>
      <c r="G116" s="51">
        <f t="shared" si="3"/>
        <v>0.93641271745650867</v>
      </c>
      <c r="H116" s="51">
        <f t="shared" si="4"/>
        <v>0.2862080448353076</v>
      </c>
      <c r="I116" s="51">
        <v>0.30499999999999999</v>
      </c>
      <c r="J116" s="51">
        <f t="shared" si="5"/>
        <v>1.8791955164692398E-2</v>
      </c>
    </row>
    <row r="117" spans="1:10" x14ac:dyDescent="0.35">
      <c r="A117" s="30" t="s">
        <v>125</v>
      </c>
      <c r="B117" s="30" t="s">
        <v>114</v>
      </c>
      <c r="C117" s="30">
        <v>33</v>
      </c>
      <c r="D117" s="30">
        <v>49</v>
      </c>
      <c r="E117" s="30">
        <v>7995</v>
      </c>
      <c r="F117" s="30">
        <v>8255</v>
      </c>
      <c r="G117" s="51">
        <f t="shared" si="3"/>
        <v>0.96850393700787396</v>
      </c>
      <c r="H117" s="51">
        <f t="shared" si="4"/>
        <v>0.39051261226526562</v>
      </c>
      <c r="I117" s="51">
        <v>0.40200000000000002</v>
      </c>
      <c r="J117" s="51">
        <f t="shared" si="5"/>
        <v>1.14873877347344E-2</v>
      </c>
    </row>
    <row r="118" spans="1:10" x14ac:dyDescent="0.35">
      <c r="A118" s="30" t="s">
        <v>125</v>
      </c>
      <c r="B118" s="30" t="s">
        <v>101</v>
      </c>
      <c r="C118" s="30">
        <v>28</v>
      </c>
      <c r="D118" s="30">
        <v>54</v>
      </c>
      <c r="E118" s="30">
        <v>8219</v>
      </c>
      <c r="F118" s="30">
        <v>8619</v>
      </c>
      <c r="G118" s="51">
        <f t="shared" si="3"/>
        <v>0.95359090381714817</v>
      </c>
      <c r="H118" s="51">
        <f t="shared" si="4"/>
        <v>0.34051266360367038</v>
      </c>
      <c r="I118" s="51">
        <v>0.34100000000000003</v>
      </c>
      <c r="J118" s="51">
        <f t="shared" si="5"/>
        <v>4.8733639632964065E-4</v>
      </c>
    </row>
    <row r="119" spans="1:10" x14ac:dyDescent="0.35">
      <c r="A119" s="30" t="s">
        <v>125</v>
      </c>
      <c r="B119" s="30" t="s">
        <v>123</v>
      </c>
      <c r="C119" s="30">
        <v>58</v>
      </c>
      <c r="D119" s="30">
        <v>24</v>
      </c>
      <c r="E119" s="30">
        <v>8448</v>
      </c>
      <c r="F119" s="30">
        <v>7923</v>
      </c>
      <c r="G119" s="51">
        <f t="shared" si="3"/>
        <v>1.0662627792502839</v>
      </c>
      <c r="H119" s="51">
        <f t="shared" si="4"/>
        <v>0.70939816443878456</v>
      </c>
      <c r="I119" s="51">
        <v>0.70699999999999996</v>
      </c>
      <c r="J119" s="51">
        <f t="shared" si="5"/>
        <v>2.3981644387846002E-3</v>
      </c>
    </row>
    <row r="120" spans="1:10" x14ac:dyDescent="0.35">
      <c r="A120" s="30" t="s">
        <v>125</v>
      </c>
      <c r="B120" s="30" t="s">
        <v>115</v>
      </c>
      <c r="C120" s="30">
        <v>34</v>
      </c>
      <c r="D120" s="30">
        <v>48</v>
      </c>
      <c r="E120" s="30">
        <v>7971</v>
      </c>
      <c r="F120" s="30">
        <v>8092</v>
      </c>
      <c r="G120" s="51">
        <f t="shared" si="3"/>
        <v>0.98504695996045477</v>
      </c>
      <c r="H120" s="51">
        <f t="shared" si="4"/>
        <v>0.44779902030660046</v>
      </c>
      <c r="I120" s="51">
        <v>0.41499999999999998</v>
      </c>
      <c r="J120" s="51">
        <f t="shared" si="5"/>
        <v>3.2799020306600479E-2</v>
      </c>
    </row>
    <row r="121" spans="1:10" x14ac:dyDescent="0.35">
      <c r="A121" s="30" t="s">
        <v>125</v>
      </c>
      <c r="B121" s="30" t="s">
        <v>102</v>
      </c>
      <c r="C121" s="30">
        <v>43</v>
      </c>
      <c r="D121" s="30">
        <v>39</v>
      </c>
      <c r="E121" s="30">
        <v>8038</v>
      </c>
      <c r="F121" s="30">
        <v>8045</v>
      </c>
      <c r="G121" s="51">
        <f t="shared" si="3"/>
        <v>0.99912989434431321</v>
      </c>
      <c r="H121" s="51">
        <f t="shared" si="4"/>
        <v>0.49697292742295757</v>
      </c>
      <c r="I121" s="51">
        <v>0.52400000000000002</v>
      </c>
      <c r="J121" s="51">
        <f t="shared" si="5"/>
        <v>2.7027072577042455E-2</v>
      </c>
    </row>
    <row r="122" spans="1:10" x14ac:dyDescent="0.35">
      <c r="A122" s="30" t="s">
        <v>125</v>
      </c>
      <c r="B122" s="30" t="s">
        <v>103</v>
      </c>
      <c r="C122" s="30">
        <v>29</v>
      </c>
      <c r="D122" s="30">
        <v>53</v>
      </c>
      <c r="E122" s="30">
        <v>7644</v>
      </c>
      <c r="F122" s="30">
        <v>7852</v>
      </c>
      <c r="G122" s="51">
        <f t="shared" si="3"/>
        <v>0.97350993377483441</v>
      </c>
      <c r="H122" s="51">
        <f t="shared" si="4"/>
        <v>0.40770879124450049</v>
      </c>
      <c r="I122" s="51">
        <v>0.35399999999999998</v>
      </c>
      <c r="J122" s="51">
        <f t="shared" si="5"/>
        <v>5.3708791244500509E-2</v>
      </c>
    </row>
    <row r="123" spans="1:10" x14ac:dyDescent="0.35">
      <c r="A123" s="30" t="s">
        <v>126</v>
      </c>
      <c r="B123" s="30" t="s">
        <v>122</v>
      </c>
      <c r="C123" s="30">
        <v>40</v>
      </c>
      <c r="D123" s="30">
        <v>26</v>
      </c>
      <c r="E123" s="30">
        <v>6375</v>
      </c>
      <c r="F123" s="30">
        <v>6148</v>
      </c>
      <c r="G123" s="51">
        <f t="shared" si="3"/>
        <v>1.0369225764476253</v>
      </c>
      <c r="H123" s="51">
        <f t="shared" si="4"/>
        <v>0.62347836619711072</v>
      </c>
      <c r="I123" s="51">
        <v>0.60599999999999998</v>
      </c>
      <c r="J123" s="51">
        <f t="shared" si="5"/>
        <v>1.747836619711074E-2</v>
      </c>
    </row>
    <row r="124" spans="1:10" x14ac:dyDescent="0.35">
      <c r="A124" s="30" t="s">
        <v>126</v>
      </c>
      <c r="B124" s="30" t="s">
        <v>111</v>
      </c>
      <c r="C124" s="30">
        <v>39</v>
      </c>
      <c r="D124" s="30">
        <v>27</v>
      </c>
      <c r="E124" s="30">
        <v>6062</v>
      </c>
      <c r="F124" s="30">
        <v>5896</v>
      </c>
      <c r="G124" s="51">
        <f t="shared" si="3"/>
        <v>1.0281546811397557</v>
      </c>
      <c r="H124" s="51">
        <f t="shared" si="4"/>
        <v>0.59537236920170289</v>
      </c>
      <c r="I124" s="51">
        <v>0.59099999999999997</v>
      </c>
      <c r="J124" s="51">
        <f t="shared" si="5"/>
        <v>4.3723692017029192E-3</v>
      </c>
    </row>
    <row r="125" spans="1:10" x14ac:dyDescent="0.35">
      <c r="A125" s="30" t="s">
        <v>126</v>
      </c>
      <c r="B125" s="30" t="s">
        <v>90</v>
      </c>
      <c r="C125" s="30">
        <v>7</v>
      </c>
      <c r="D125" s="30">
        <v>59</v>
      </c>
      <c r="E125" s="30">
        <v>5739</v>
      </c>
      <c r="F125" s="30">
        <v>6657</v>
      </c>
      <c r="G125" s="51">
        <f t="shared" si="3"/>
        <v>0.86210004506534477</v>
      </c>
      <c r="H125" s="51">
        <f t="shared" si="4"/>
        <v>0.11264330615621002</v>
      </c>
      <c r="I125" s="51">
        <v>0.106</v>
      </c>
      <c r="J125" s="51">
        <f t="shared" si="5"/>
        <v>6.6433061562100187E-3</v>
      </c>
    </row>
    <row r="126" spans="1:10" x14ac:dyDescent="0.35">
      <c r="A126" s="30" t="s">
        <v>126</v>
      </c>
      <c r="B126" s="30" t="s">
        <v>106</v>
      </c>
      <c r="C126" s="30">
        <v>50</v>
      </c>
      <c r="D126" s="30">
        <v>16</v>
      </c>
      <c r="E126" s="30">
        <v>6359</v>
      </c>
      <c r="F126" s="30">
        <v>5819</v>
      </c>
      <c r="G126" s="51">
        <f t="shared" si="3"/>
        <v>1.0927994500773328</v>
      </c>
      <c r="H126" s="51">
        <f t="shared" si="4"/>
        <v>0.77458967839316506</v>
      </c>
      <c r="I126" s="51">
        <v>0.75800000000000001</v>
      </c>
      <c r="J126" s="51">
        <f t="shared" si="5"/>
        <v>1.6589678393165053E-2</v>
      </c>
    </row>
    <row r="127" spans="1:10" x14ac:dyDescent="0.35">
      <c r="A127" s="30" t="s">
        <v>126</v>
      </c>
      <c r="B127" s="30" t="s">
        <v>91</v>
      </c>
      <c r="C127" s="30">
        <v>21</v>
      </c>
      <c r="D127" s="30">
        <v>45</v>
      </c>
      <c r="E127" s="30">
        <v>6140</v>
      </c>
      <c r="F127" s="30">
        <v>6615</v>
      </c>
      <c r="G127" s="51">
        <f t="shared" si="3"/>
        <v>0.92819349962207109</v>
      </c>
      <c r="H127" s="51">
        <f t="shared" si="4"/>
        <v>0.26182503120944833</v>
      </c>
      <c r="I127" s="51">
        <v>0.318</v>
      </c>
      <c r="J127" s="51">
        <f t="shared" si="5"/>
        <v>5.6174968790551671E-2</v>
      </c>
    </row>
    <row r="128" spans="1:10" x14ac:dyDescent="0.35">
      <c r="A128" s="30" t="s">
        <v>126</v>
      </c>
      <c r="B128" s="30" t="s">
        <v>112</v>
      </c>
      <c r="C128" s="30">
        <v>36</v>
      </c>
      <c r="D128" s="30">
        <v>30</v>
      </c>
      <c r="E128" s="30">
        <v>6322</v>
      </c>
      <c r="F128" s="30">
        <v>6259</v>
      </c>
      <c r="G128" s="51">
        <f t="shared" si="3"/>
        <v>1.0100655056718326</v>
      </c>
      <c r="H128" s="51">
        <f t="shared" si="4"/>
        <v>0.53477159082561876</v>
      </c>
      <c r="I128" s="51">
        <v>0.54500000000000004</v>
      </c>
      <c r="J128" s="51">
        <f t="shared" si="5"/>
        <v>1.0228409174381281E-2</v>
      </c>
    </row>
    <row r="129" spans="1:10" x14ac:dyDescent="0.35">
      <c r="A129" s="30" t="s">
        <v>126</v>
      </c>
      <c r="B129" s="30" t="s">
        <v>113</v>
      </c>
      <c r="C129" s="30">
        <v>38</v>
      </c>
      <c r="D129" s="30">
        <v>28</v>
      </c>
      <c r="E129" s="30">
        <v>6872</v>
      </c>
      <c r="F129" s="30">
        <v>6682</v>
      </c>
      <c r="G129" s="51">
        <f t="shared" si="3"/>
        <v>1.0284346004190361</v>
      </c>
      <c r="H129" s="51">
        <f t="shared" si="4"/>
        <v>0.596284231490955</v>
      </c>
      <c r="I129" s="51">
        <v>0.57599999999999996</v>
      </c>
      <c r="J129" s="51">
        <f t="shared" si="5"/>
        <v>2.028423149095504E-2</v>
      </c>
    </row>
    <row r="130" spans="1:10" x14ac:dyDescent="0.35">
      <c r="A130" s="30" t="s">
        <v>126</v>
      </c>
      <c r="B130" s="30" t="s">
        <v>92</v>
      </c>
      <c r="C130" s="30">
        <v>25</v>
      </c>
      <c r="D130" s="30">
        <v>41</v>
      </c>
      <c r="E130" s="30">
        <v>5997</v>
      </c>
      <c r="F130" s="30">
        <v>6313</v>
      </c>
      <c r="G130" s="51">
        <f t="shared" si="3"/>
        <v>0.94994455884682405</v>
      </c>
      <c r="H130" s="51">
        <f t="shared" si="4"/>
        <v>0.32864905831034713</v>
      </c>
      <c r="I130" s="51">
        <v>0.379</v>
      </c>
      <c r="J130" s="51">
        <f t="shared" si="5"/>
        <v>5.0350941689652873E-2</v>
      </c>
    </row>
    <row r="131" spans="1:10" x14ac:dyDescent="0.35">
      <c r="A131" s="30" t="s">
        <v>126</v>
      </c>
      <c r="B131" s="30" t="s">
        <v>107</v>
      </c>
      <c r="C131" s="30">
        <v>23</v>
      </c>
      <c r="D131" s="30">
        <v>43</v>
      </c>
      <c r="E131" s="30">
        <v>6453</v>
      </c>
      <c r="F131" s="30">
        <v>6678</v>
      </c>
      <c r="G131" s="51">
        <f t="shared" si="3"/>
        <v>0.96630727762803237</v>
      </c>
      <c r="H131" s="51">
        <f t="shared" si="4"/>
        <v>0.38302150571322535</v>
      </c>
      <c r="I131" s="51">
        <v>0.34799999999999998</v>
      </c>
      <c r="J131" s="51">
        <f t="shared" si="5"/>
        <v>3.5021505713225376E-2</v>
      </c>
    </row>
    <row r="132" spans="1:10" x14ac:dyDescent="0.35">
      <c r="A132" s="30" t="s">
        <v>126</v>
      </c>
      <c r="B132" s="30" t="s">
        <v>116</v>
      </c>
      <c r="C132" s="30">
        <v>34</v>
      </c>
      <c r="D132" s="30">
        <v>32</v>
      </c>
      <c r="E132" s="30">
        <v>6474</v>
      </c>
      <c r="F132" s="30">
        <v>6459</v>
      </c>
      <c r="G132" s="51">
        <f t="shared" ref="G132:G195" si="6">E132/F132</f>
        <v>1.0023223409196471</v>
      </c>
      <c r="H132" s="51">
        <f t="shared" ref="H132:H195" si="7">((G132^$H$1)/((G132^$H$1)+1))</f>
        <v>0.50806587771791445</v>
      </c>
      <c r="I132" s="51">
        <v>0.51500000000000001</v>
      </c>
      <c r="J132" s="51">
        <f t="shared" ref="J132:J195" si="8">ABS(H132-I132)</f>
        <v>6.9341222820855641E-3</v>
      </c>
    </row>
    <row r="133" spans="1:10" x14ac:dyDescent="0.35">
      <c r="A133" s="30" t="s">
        <v>126</v>
      </c>
      <c r="B133" s="30" t="s">
        <v>117</v>
      </c>
      <c r="C133" s="30">
        <v>42</v>
      </c>
      <c r="D133" s="30">
        <v>24</v>
      </c>
      <c r="E133" s="30">
        <v>6449</v>
      </c>
      <c r="F133" s="30">
        <v>6231</v>
      </c>
      <c r="G133" s="51">
        <f t="shared" si="6"/>
        <v>1.034986358529931</v>
      </c>
      <c r="H133" s="51">
        <f t="shared" si="7"/>
        <v>0.61735593348426288</v>
      </c>
      <c r="I133" s="51">
        <v>0.63600000000000001</v>
      </c>
      <c r="J133" s="51">
        <f t="shared" si="8"/>
        <v>1.8644066515737134E-2</v>
      </c>
    </row>
    <row r="134" spans="1:10" x14ac:dyDescent="0.35">
      <c r="A134" s="30" t="s">
        <v>126</v>
      </c>
      <c r="B134" s="30" t="s">
        <v>108</v>
      </c>
      <c r="C134" s="30">
        <v>40</v>
      </c>
      <c r="D134" s="30">
        <v>26</v>
      </c>
      <c r="E134" s="30">
        <v>6438</v>
      </c>
      <c r="F134" s="30">
        <v>6269</v>
      </c>
      <c r="G134" s="51">
        <f t="shared" si="6"/>
        <v>1.026958047535492</v>
      </c>
      <c r="H134" s="51">
        <f t="shared" si="7"/>
        <v>0.59146406023819709</v>
      </c>
      <c r="I134" s="51">
        <v>0.60599999999999998</v>
      </c>
      <c r="J134" s="51">
        <f t="shared" si="8"/>
        <v>1.4535939761802896E-2</v>
      </c>
    </row>
    <row r="135" spans="1:10" x14ac:dyDescent="0.35">
      <c r="A135" s="30" t="s">
        <v>126</v>
      </c>
      <c r="B135" s="30" t="s">
        <v>119</v>
      </c>
      <c r="C135" s="30">
        <v>41</v>
      </c>
      <c r="D135" s="30">
        <v>25</v>
      </c>
      <c r="E135" s="30">
        <v>6422</v>
      </c>
      <c r="F135" s="30">
        <v>6328</v>
      </c>
      <c r="G135" s="51">
        <f t="shared" si="6"/>
        <v>1.0148546144121366</v>
      </c>
      <c r="H135" s="51">
        <f t="shared" si="7"/>
        <v>0.55109799487792033</v>
      </c>
      <c r="I135" s="51">
        <v>0.621</v>
      </c>
      <c r="J135" s="51">
        <f t="shared" si="8"/>
        <v>6.9902005122079669E-2</v>
      </c>
    </row>
    <row r="136" spans="1:10" x14ac:dyDescent="0.35">
      <c r="A136" s="30" t="s">
        <v>126</v>
      </c>
      <c r="B136" s="30" t="s">
        <v>93</v>
      </c>
      <c r="C136" s="30">
        <v>41</v>
      </c>
      <c r="D136" s="30">
        <v>25</v>
      </c>
      <c r="E136" s="30">
        <v>6269</v>
      </c>
      <c r="F136" s="30">
        <v>6136</v>
      </c>
      <c r="G136" s="51">
        <f t="shared" si="6"/>
        <v>1.0216753585397653</v>
      </c>
      <c r="H136" s="51">
        <f t="shared" si="7"/>
        <v>0.5740227513797872</v>
      </c>
      <c r="I136" s="51">
        <v>0.621</v>
      </c>
      <c r="J136" s="51">
        <f t="shared" si="8"/>
        <v>4.6977248620212797E-2</v>
      </c>
    </row>
    <row r="137" spans="1:10" x14ac:dyDescent="0.35">
      <c r="A137" s="30" t="s">
        <v>126</v>
      </c>
      <c r="B137" s="30" t="s">
        <v>121</v>
      </c>
      <c r="C137" s="30">
        <v>46</v>
      </c>
      <c r="D137" s="30">
        <v>20</v>
      </c>
      <c r="E137" s="30">
        <v>6500</v>
      </c>
      <c r="F137" s="30">
        <v>6105</v>
      </c>
      <c r="G137" s="51">
        <f t="shared" si="6"/>
        <v>1.0647010647010646</v>
      </c>
      <c r="H137" s="51">
        <f t="shared" si="7"/>
        <v>0.70517717581084594</v>
      </c>
      <c r="I137" s="51">
        <v>0.69699999999999995</v>
      </c>
      <c r="J137" s="51">
        <f t="shared" si="8"/>
        <v>8.1771758108459824E-3</v>
      </c>
    </row>
    <row r="138" spans="1:10" x14ac:dyDescent="0.35">
      <c r="A138" s="30" t="s">
        <v>126</v>
      </c>
      <c r="B138" s="30" t="s">
        <v>109</v>
      </c>
      <c r="C138" s="30">
        <v>31</v>
      </c>
      <c r="D138" s="30">
        <v>35</v>
      </c>
      <c r="E138" s="30">
        <v>6535</v>
      </c>
      <c r="F138" s="30">
        <v>6517</v>
      </c>
      <c r="G138" s="51">
        <f t="shared" si="6"/>
        <v>1.0027620070584624</v>
      </c>
      <c r="H138" s="51">
        <f t="shared" si="7"/>
        <v>0.5095904631514413</v>
      </c>
      <c r="I138" s="51">
        <v>0.47</v>
      </c>
      <c r="J138" s="51">
        <f t="shared" si="8"/>
        <v>3.9590463151441324E-2</v>
      </c>
    </row>
    <row r="139" spans="1:10" x14ac:dyDescent="0.35">
      <c r="A139" s="30" t="s">
        <v>126</v>
      </c>
      <c r="B139" s="30" t="s">
        <v>94</v>
      </c>
      <c r="C139" s="30">
        <v>26</v>
      </c>
      <c r="D139" s="30">
        <v>40</v>
      </c>
      <c r="E139" s="30">
        <v>6464</v>
      </c>
      <c r="F139" s="30">
        <v>6609</v>
      </c>
      <c r="G139" s="51">
        <f t="shared" si="6"/>
        <v>0.97806022091087907</v>
      </c>
      <c r="H139" s="51">
        <f t="shared" si="7"/>
        <v>0.42346139949132594</v>
      </c>
      <c r="I139" s="51">
        <v>0.39400000000000002</v>
      </c>
      <c r="J139" s="51">
        <f t="shared" si="8"/>
        <v>2.9461399491325924E-2</v>
      </c>
    </row>
    <row r="140" spans="1:10" x14ac:dyDescent="0.35">
      <c r="A140" s="30" t="s">
        <v>126</v>
      </c>
      <c r="B140" s="30" t="s">
        <v>95</v>
      </c>
      <c r="C140" s="30">
        <v>22</v>
      </c>
      <c r="D140" s="30">
        <v>44</v>
      </c>
      <c r="E140" s="30">
        <v>6144</v>
      </c>
      <c r="F140" s="30">
        <v>6539</v>
      </c>
      <c r="G140" s="51">
        <f t="shared" si="6"/>
        <v>0.93959320997094353</v>
      </c>
      <c r="H140" s="51">
        <f t="shared" si="7"/>
        <v>0.29593980272483805</v>
      </c>
      <c r="I140" s="51">
        <v>0.33300000000000002</v>
      </c>
      <c r="J140" s="51">
        <f t="shared" si="8"/>
        <v>3.7060197275161966E-2</v>
      </c>
    </row>
    <row r="141" spans="1:10" x14ac:dyDescent="0.35">
      <c r="A141" s="30" t="s">
        <v>126</v>
      </c>
      <c r="B141" s="30" t="s">
        <v>96</v>
      </c>
      <c r="C141" s="30">
        <v>21</v>
      </c>
      <c r="D141" s="30">
        <v>45</v>
      </c>
      <c r="E141" s="30">
        <v>5916</v>
      </c>
      <c r="F141" s="30">
        <v>6164</v>
      </c>
      <c r="G141" s="51">
        <f t="shared" si="6"/>
        <v>0.95976638546398441</v>
      </c>
      <c r="H141" s="51">
        <f t="shared" si="7"/>
        <v>0.36095551775745094</v>
      </c>
      <c r="I141" s="51">
        <v>0.318</v>
      </c>
      <c r="J141" s="51">
        <f t="shared" si="8"/>
        <v>4.2955517757450934E-2</v>
      </c>
    </row>
    <row r="142" spans="1:10" x14ac:dyDescent="0.35">
      <c r="A142" s="30" t="s">
        <v>126</v>
      </c>
      <c r="B142" s="30" t="s">
        <v>97</v>
      </c>
      <c r="C142" s="30">
        <v>36</v>
      </c>
      <c r="D142" s="30">
        <v>30</v>
      </c>
      <c r="E142" s="30">
        <v>6458</v>
      </c>
      <c r="F142" s="30">
        <v>6247</v>
      </c>
      <c r="G142" s="51">
        <f t="shared" si="6"/>
        <v>1.0337762125820393</v>
      </c>
      <c r="H142" s="51">
        <f t="shared" si="7"/>
        <v>0.61350438388953898</v>
      </c>
      <c r="I142" s="51">
        <v>0.54500000000000004</v>
      </c>
      <c r="J142" s="51">
        <f t="shared" si="8"/>
        <v>6.8504383889538945E-2</v>
      </c>
    </row>
    <row r="143" spans="1:10" x14ac:dyDescent="0.35">
      <c r="A143" s="30" t="s">
        <v>126</v>
      </c>
      <c r="B143" s="30" t="s">
        <v>110</v>
      </c>
      <c r="C143" s="30">
        <v>47</v>
      </c>
      <c r="D143" s="30">
        <v>19</v>
      </c>
      <c r="E143" s="30">
        <v>6802</v>
      </c>
      <c r="F143" s="30">
        <v>6398</v>
      </c>
      <c r="G143" s="51">
        <f t="shared" si="6"/>
        <v>1.0631447327289778</v>
      </c>
      <c r="H143" s="51">
        <f t="shared" si="7"/>
        <v>0.70092921468441427</v>
      </c>
      <c r="I143" s="51">
        <v>0.71199999999999997</v>
      </c>
      <c r="J143" s="51">
        <f t="shared" si="8"/>
        <v>1.1070785315585696E-2</v>
      </c>
    </row>
    <row r="144" spans="1:10" x14ac:dyDescent="0.35">
      <c r="A144" s="30" t="s">
        <v>126</v>
      </c>
      <c r="B144" s="30" t="s">
        <v>98</v>
      </c>
      <c r="C144" s="30">
        <v>37</v>
      </c>
      <c r="D144" s="30">
        <v>29</v>
      </c>
      <c r="E144" s="30">
        <v>6215</v>
      </c>
      <c r="F144" s="30">
        <v>6163</v>
      </c>
      <c r="G144" s="51">
        <f t="shared" si="6"/>
        <v>1.008437449294175</v>
      </c>
      <c r="H144" s="51">
        <f t="shared" si="7"/>
        <v>0.52918492659119476</v>
      </c>
      <c r="I144" s="51">
        <v>0.56100000000000005</v>
      </c>
      <c r="J144" s="51">
        <f t="shared" si="8"/>
        <v>3.1815073408805294E-2</v>
      </c>
    </row>
    <row r="145" spans="1:10" x14ac:dyDescent="0.35">
      <c r="A145" s="30" t="s">
        <v>126</v>
      </c>
      <c r="B145" s="30" t="s">
        <v>99</v>
      </c>
      <c r="C145" s="30">
        <v>35</v>
      </c>
      <c r="D145" s="30">
        <v>31</v>
      </c>
      <c r="E145" s="30">
        <v>6180</v>
      </c>
      <c r="F145" s="30">
        <v>5900</v>
      </c>
      <c r="G145" s="51">
        <f t="shared" si="6"/>
        <v>1.047457627118644</v>
      </c>
      <c r="H145" s="51">
        <f t="shared" si="7"/>
        <v>0.65587154592732466</v>
      </c>
      <c r="I145" s="51">
        <v>0.53</v>
      </c>
      <c r="J145" s="51">
        <f t="shared" si="8"/>
        <v>0.12587154592732464</v>
      </c>
    </row>
    <row r="146" spans="1:10" x14ac:dyDescent="0.35">
      <c r="A146" s="30" t="s">
        <v>126</v>
      </c>
      <c r="B146" s="30" t="s">
        <v>100</v>
      </c>
      <c r="C146" s="30">
        <v>33</v>
      </c>
      <c r="D146" s="30">
        <v>33</v>
      </c>
      <c r="E146" s="30">
        <v>6492</v>
      </c>
      <c r="F146" s="30">
        <v>6508</v>
      </c>
      <c r="G146" s="51">
        <f t="shared" si="6"/>
        <v>0.99754148740012294</v>
      </c>
      <c r="H146" s="51">
        <f t="shared" si="7"/>
        <v>0.49144083187704107</v>
      </c>
      <c r="I146" s="51">
        <v>0.5</v>
      </c>
      <c r="J146" s="51">
        <f t="shared" si="8"/>
        <v>8.5591681229589267E-3</v>
      </c>
    </row>
    <row r="147" spans="1:10" x14ac:dyDescent="0.35">
      <c r="A147" s="30" t="s">
        <v>126</v>
      </c>
      <c r="B147" s="30" t="s">
        <v>114</v>
      </c>
      <c r="C147" s="30">
        <v>28</v>
      </c>
      <c r="D147" s="30">
        <v>38</v>
      </c>
      <c r="E147" s="30">
        <v>6415</v>
      </c>
      <c r="F147" s="30">
        <v>6456</v>
      </c>
      <c r="G147" s="51">
        <f t="shared" si="6"/>
        <v>0.99364931846344484</v>
      </c>
      <c r="H147" s="51">
        <f t="shared" si="7"/>
        <v>0.47785956883589836</v>
      </c>
      <c r="I147" s="51">
        <v>0.42399999999999999</v>
      </c>
      <c r="J147" s="51">
        <f t="shared" si="8"/>
        <v>5.3859568835898375E-2</v>
      </c>
    </row>
    <row r="148" spans="1:10" x14ac:dyDescent="0.35">
      <c r="A148" s="30" t="s">
        <v>126</v>
      </c>
      <c r="B148" s="30" t="s">
        <v>101</v>
      </c>
      <c r="C148" s="30">
        <v>22</v>
      </c>
      <c r="D148" s="30">
        <v>44</v>
      </c>
      <c r="E148" s="30">
        <v>6518</v>
      </c>
      <c r="F148" s="30">
        <v>6893</v>
      </c>
      <c r="G148" s="51">
        <f t="shared" si="6"/>
        <v>0.94559698244595969</v>
      </c>
      <c r="H148" s="51">
        <f t="shared" si="7"/>
        <v>0.31472757539797497</v>
      </c>
      <c r="I148" s="51">
        <v>0.33300000000000002</v>
      </c>
      <c r="J148" s="51">
        <f t="shared" si="8"/>
        <v>1.827242460202505E-2</v>
      </c>
    </row>
    <row r="149" spans="1:10" x14ac:dyDescent="0.35">
      <c r="A149" s="30" t="s">
        <v>126</v>
      </c>
      <c r="B149" s="30" t="s">
        <v>123</v>
      </c>
      <c r="C149" s="30">
        <v>50</v>
      </c>
      <c r="D149" s="30">
        <v>16</v>
      </c>
      <c r="E149" s="30">
        <v>6841</v>
      </c>
      <c r="F149" s="30">
        <v>6368</v>
      </c>
      <c r="G149" s="51">
        <f t="shared" si="6"/>
        <v>1.0742776381909547</v>
      </c>
      <c r="H149" s="51">
        <f t="shared" si="7"/>
        <v>0.73039552696652776</v>
      </c>
      <c r="I149" s="51">
        <v>0.75800000000000001</v>
      </c>
      <c r="J149" s="51">
        <f t="shared" si="8"/>
        <v>2.7604473033472243E-2</v>
      </c>
    </row>
    <row r="150" spans="1:10" x14ac:dyDescent="0.35">
      <c r="A150" s="30" t="s">
        <v>126</v>
      </c>
      <c r="B150" s="30" t="s">
        <v>115</v>
      </c>
      <c r="C150" s="30">
        <v>23</v>
      </c>
      <c r="D150" s="30">
        <v>43</v>
      </c>
      <c r="E150" s="30">
        <v>5986</v>
      </c>
      <c r="F150" s="30">
        <v>6204</v>
      </c>
      <c r="G150" s="51">
        <f t="shared" si="6"/>
        <v>0.96486137975499675</v>
      </c>
      <c r="H150" s="51">
        <f t="shared" si="7"/>
        <v>0.3781113503097529</v>
      </c>
      <c r="I150" s="51">
        <v>0.34799999999999998</v>
      </c>
      <c r="J150" s="51">
        <f t="shared" si="8"/>
        <v>3.0111350309752927E-2</v>
      </c>
    </row>
    <row r="151" spans="1:10" x14ac:dyDescent="0.35">
      <c r="A151" s="30" t="s">
        <v>126</v>
      </c>
      <c r="B151" s="30" t="s">
        <v>102</v>
      </c>
      <c r="C151" s="30">
        <v>36</v>
      </c>
      <c r="D151" s="30">
        <v>30</v>
      </c>
      <c r="E151" s="30">
        <v>6577</v>
      </c>
      <c r="F151" s="30">
        <v>6536</v>
      </c>
      <c r="G151" s="51">
        <f t="shared" si="6"/>
        <v>1.0062729498164014</v>
      </c>
      <c r="H151" s="51">
        <f t="shared" si="7"/>
        <v>0.52173234716861272</v>
      </c>
      <c r="I151" s="51">
        <v>0.54500000000000004</v>
      </c>
      <c r="J151" s="51">
        <f t="shared" si="8"/>
        <v>2.326765283138732E-2</v>
      </c>
    </row>
    <row r="152" spans="1:10" x14ac:dyDescent="0.35">
      <c r="A152" s="30" t="s">
        <v>126</v>
      </c>
      <c r="B152" s="30" t="s">
        <v>103</v>
      </c>
      <c r="C152" s="30">
        <v>20</v>
      </c>
      <c r="D152" s="30">
        <v>46</v>
      </c>
      <c r="E152" s="30">
        <v>6180</v>
      </c>
      <c r="F152" s="30">
        <v>6497</v>
      </c>
      <c r="G152" s="51">
        <f t="shared" si="6"/>
        <v>0.95120824996152065</v>
      </c>
      <c r="H152" s="51">
        <f t="shared" si="7"/>
        <v>0.33274193788742806</v>
      </c>
      <c r="I152" s="51">
        <v>0.30299999999999999</v>
      </c>
      <c r="J152" s="51">
        <f t="shared" si="8"/>
        <v>2.9741937887428072E-2</v>
      </c>
    </row>
    <row r="153" spans="1:10" x14ac:dyDescent="0.35">
      <c r="A153" s="30" t="s">
        <v>118</v>
      </c>
      <c r="B153" s="30" t="s">
        <v>122</v>
      </c>
      <c r="C153" s="30">
        <v>44</v>
      </c>
      <c r="D153" s="30">
        <v>38</v>
      </c>
      <c r="E153" s="30">
        <v>7790</v>
      </c>
      <c r="F153" s="30">
        <v>7857</v>
      </c>
      <c r="G153" s="51">
        <f t="shared" si="6"/>
        <v>0.99147257222858598</v>
      </c>
      <c r="H153" s="51">
        <f t="shared" si="7"/>
        <v>0.47025387824827247</v>
      </c>
      <c r="I153" s="51">
        <v>0.53700000000000003</v>
      </c>
      <c r="J153" s="51">
        <f t="shared" si="8"/>
        <v>6.6746121751727561E-2</v>
      </c>
    </row>
    <row r="154" spans="1:10" x14ac:dyDescent="0.35">
      <c r="A154" s="30" t="s">
        <v>118</v>
      </c>
      <c r="B154" s="30" t="s">
        <v>111</v>
      </c>
      <c r="C154" s="30">
        <v>56</v>
      </c>
      <c r="D154" s="30">
        <v>26</v>
      </c>
      <c r="E154" s="30">
        <v>7913</v>
      </c>
      <c r="F154" s="30">
        <v>7473</v>
      </c>
      <c r="G154" s="51">
        <f t="shared" si="6"/>
        <v>1.0588786297337081</v>
      </c>
      <c r="H154" s="51">
        <f t="shared" si="7"/>
        <v>0.6890747835838944</v>
      </c>
      <c r="I154" s="51">
        <v>0.68300000000000005</v>
      </c>
      <c r="J154" s="51">
        <f t="shared" si="8"/>
        <v>6.0747835838943498E-3</v>
      </c>
    </row>
    <row r="155" spans="1:10" x14ac:dyDescent="0.35">
      <c r="A155" s="30" t="s">
        <v>118</v>
      </c>
      <c r="B155" s="30" t="s">
        <v>90</v>
      </c>
      <c r="C155" s="30">
        <v>34</v>
      </c>
      <c r="D155" s="30">
        <v>48</v>
      </c>
      <c r="E155" s="30">
        <v>7650</v>
      </c>
      <c r="F155" s="30">
        <v>7978</v>
      </c>
      <c r="G155" s="51">
        <f t="shared" si="6"/>
        <v>0.9588869390824768</v>
      </c>
      <c r="H155" s="51">
        <f t="shared" si="7"/>
        <v>0.35801935880538815</v>
      </c>
      <c r="I155" s="51">
        <v>0.41499999999999998</v>
      </c>
      <c r="J155" s="51">
        <f t="shared" si="8"/>
        <v>5.6980641194611825E-2</v>
      </c>
    </row>
    <row r="156" spans="1:10" x14ac:dyDescent="0.35">
      <c r="A156" s="30" t="s">
        <v>118</v>
      </c>
      <c r="B156" s="30" t="s">
        <v>106</v>
      </c>
      <c r="C156" s="30">
        <v>62</v>
      </c>
      <c r="D156" s="30">
        <v>20</v>
      </c>
      <c r="E156" s="30">
        <v>8087</v>
      </c>
      <c r="F156" s="30">
        <v>7487</v>
      </c>
      <c r="G156" s="51">
        <f t="shared" si="6"/>
        <v>1.080138907439562</v>
      </c>
      <c r="H156" s="51">
        <f t="shared" si="7"/>
        <v>0.74503730365537157</v>
      </c>
      <c r="I156" s="51">
        <v>0.75600000000000001</v>
      </c>
      <c r="J156" s="51">
        <f t="shared" si="8"/>
        <v>1.0962696344628431E-2</v>
      </c>
    </row>
    <row r="157" spans="1:10" x14ac:dyDescent="0.35">
      <c r="A157" s="30" t="s">
        <v>118</v>
      </c>
      <c r="B157" s="30" t="s">
        <v>91</v>
      </c>
      <c r="C157" s="30">
        <v>19</v>
      </c>
      <c r="D157" s="30">
        <v>63</v>
      </c>
      <c r="E157" s="30">
        <v>7827</v>
      </c>
      <c r="F157" s="30">
        <v>8566</v>
      </c>
      <c r="G157" s="51">
        <f t="shared" si="6"/>
        <v>0.91372869484006536</v>
      </c>
      <c r="H157" s="51">
        <f t="shared" si="7"/>
        <v>0.22183888114769723</v>
      </c>
      <c r="I157" s="51">
        <v>0.23200000000000001</v>
      </c>
      <c r="J157" s="51">
        <f t="shared" si="8"/>
        <v>1.0161118852302781E-2</v>
      </c>
    </row>
    <row r="158" spans="1:10" x14ac:dyDescent="0.35">
      <c r="A158" s="30" t="s">
        <v>118</v>
      </c>
      <c r="B158" s="30" t="s">
        <v>112</v>
      </c>
      <c r="C158" s="30">
        <v>57</v>
      </c>
      <c r="D158" s="30">
        <v>25</v>
      </c>
      <c r="E158" s="30">
        <v>8220</v>
      </c>
      <c r="F158" s="30">
        <v>7873</v>
      </c>
      <c r="G158" s="51">
        <f t="shared" si="6"/>
        <v>1.0440746856344469</v>
      </c>
      <c r="H158" s="51">
        <f t="shared" si="7"/>
        <v>0.64564545168444631</v>
      </c>
      <c r="I158" s="51">
        <v>0.69499999999999995</v>
      </c>
      <c r="J158" s="51">
        <f t="shared" si="8"/>
        <v>4.9354548315553637E-2</v>
      </c>
    </row>
    <row r="159" spans="1:10" x14ac:dyDescent="0.35">
      <c r="A159" s="30" t="s">
        <v>118</v>
      </c>
      <c r="B159" s="30" t="s">
        <v>113</v>
      </c>
      <c r="C159" s="30">
        <v>50</v>
      </c>
      <c r="D159" s="30">
        <v>32</v>
      </c>
      <c r="E159" s="30">
        <v>8811</v>
      </c>
      <c r="F159" s="30">
        <v>8421</v>
      </c>
      <c r="G159" s="51">
        <f t="shared" si="6"/>
        <v>1.046312789454934</v>
      </c>
      <c r="H159" s="51">
        <f t="shared" si="7"/>
        <v>0.65243015546972971</v>
      </c>
      <c r="I159" s="51">
        <v>0.61</v>
      </c>
      <c r="J159" s="51">
        <f t="shared" si="8"/>
        <v>4.2430155469729725E-2</v>
      </c>
    </row>
    <row r="160" spans="1:10" x14ac:dyDescent="0.35">
      <c r="A160" s="30" t="s">
        <v>118</v>
      </c>
      <c r="B160" s="30" t="s">
        <v>92</v>
      </c>
      <c r="C160" s="30">
        <v>30</v>
      </c>
      <c r="D160" s="30">
        <v>52</v>
      </c>
      <c r="E160" s="30">
        <v>7951</v>
      </c>
      <c r="F160" s="30">
        <v>8246</v>
      </c>
      <c r="G160" s="51">
        <f t="shared" si="6"/>
        <v>0.96422507882609754</v>
      </c>
      <c r="H160" s="51">
        <f t="shared" si="7"/>
        <v>0.37595602998028488</v>
      </c>
      <c r="I160" s="51">
        <v>0.36599999999999999</v>
      </c>
      <c r="J160" s="51">
        <f t="shared" si="8"/>
        <v>9.9560299802848862E-3</v>
      </c>
    </row>
    <row r="161" spans="1:10" x14ac:dyDescent="0.35">
      <c r="A161" s="30" t="s">
        <v>118</v>
      </c>
      <c r="B161" s="30" t="s">
        <v>107</v>
      </c>
      <c r="C161" s="30">
        <v>36</v>
      </c>
      <c r="D161" s="30">
        <v>46</v>
      </c>
      <c r="E161" s="30">
        <v>8477</v>
      </c>
      <c r="F161" s="30">
        <v>8668</v>
      </c>
      <c r="G161" s="51">
        <f t="shared" si="6"/>
        <v>0.97796492847254268</v>
      </c>
      <c r="H161" s="51">
        <f t="shared" si="7"/>
        <v>0.42313054408610984</v>
      </c>
      <c r="I161" s="51">
        <v>0.439</v>
      </c>
      <c r="J161" s="51">
        <f t="shared" si="8"/>
        <v>1.5869455913890163E-2</v>
      </c>
    </row>
    <row r="162" spans="1:10" x14ac:dyDescent="0.35">
      <c r="A162" s="30" t="s">
        <v>118</v>
      </c>
      <c r="B162" s="30" t="s">
        <v>116</v>
      </c>
      <c r="C162" s="30">
        <v>43</v>
      </c>
      <c r="D162" s="30">
        <v>39</v>
      </c>
      <c r="E162" s="30">
        <v>8685</v>
      </c>
      <c r="F162" s="30">
        <v>8506</v>
      </c>
      <c r="G162" s="51">
        <f t="shared" si="6"/>
        <v>1.0210439689630848</v>
      </c>
      <c r="H162" s="51">
        <f t="shared" si="7"/>
        <v>0.57191880238899251</v>
      </c>
      <c r="I162" s="51">
        <v>0.52400000000000002</v>
      </c>
      <c r="J162" s="51">
        <f t="shared" si="8"/>
        <v>4.7918802388992487E-2</v>
      </c>
    </row>
    <row r="163" spans="1:10" x14ac:dyDescent="0.35">
      <c r="A163" s="30" t="s">
        <v>118</v>
      </c>
      <c r="B163" s="30" t="s">
        <v>117</v>
      </c>
      <c r="C163" s="30">
        <v>37</v>
      </c>
      <c r="D163" s="30">
        <v>45</v>
      </c>
      <c r="E163" s="30">
        <v>8183</v>
      </c>
      <c r="F163" s="30">
        <v>8271</v>
      </c>
      <c r="G163" s="51">
        <f t="shared" si="6"/>
        <v>0.98936041591101442</v>
      </c>
      <c r="H163" s="51">
        <f t="shared" si="7"/>
        <v>0.46287108360901652</v>
      </c>
      <c r="I163" s="51">
        <v>0.45100000000000001</v>
      </c>
      <c r="J163" s="51">
        <f t="shared" si="8"/>
        <v>1.1871083609016508E-2</v>
      </c>
    </row>
    <row r="164" spans="1:10" x14ac:dyDescent="0.35">
      <c r="A164" s="30" t="s">
        <v>118</v>
      </c>
      <c r="B164" s="30" t="s">
        <v>108</v>
      </c>
      <c r="C164" s="30">
        <v>32</v>
      </c>
      <c r="D164" s="30">
        <v>50</v>
      </c>
      <c r="E164" s="30">
        <v>8089</v>
      </c>
      <c r="F164" s="30">
        <v>8346</v>
      </c>
      <c r="G164" s="51">
        <f t="shared" si="6"/>
        <v>0.96920680565540374</v>
      </c>
      <c r="H164" s="51">
        <f t="shared" si="7"/>
        <v>0.39291707785595947</v>
      </c>
      <c r="I164" s="51">
        <v>0.39</v>
      </c>
      <c r="J164" s="51">
        <f t="shared" si="8"/>
        <v>2.9170778559594601E-3</v>
      </c>
    </row>
    <row r="165" spans="1:10" x14ac:dyDescent="0.35">
      <c r="A165" s="30" t="s">
        <v>118</v>
      </c>
      <c r="B165" s="30" t="s">
        <v>119</v>
      </c>
      <c r="C165" s="30">
        <v>57</v>
      </c>
      <c r="D165" s="30">
        <v>25</v>
      </c>
      <c r="E165" s="30">
        <v>8321</v>
      </c>
      <c r="F165" s="30">
        <v>7820</v>
      </c>
      <c r="G165" s="51">
        <f t="shared" si="6"/>
        <v>1.0640664961636828</v>
      </c>
      <c r="H165" s="51">
        <f t="shared" si="7"/>
        <v>0.70345012992820755</v>
      </c>
      <c r="I165" s="51">
        <v>0.69499999999999995</v>
      </c>
      <c r="J165" s="51">
        <f t="shared" si="8"/>
        <v>8.4501299282075948E-3</v>
      </c>
    </row>
    <row r="166" spans="1:10" x14ac:dyDescent="0.35">
      <c r="A166" s="30" t="s">
        <v>118</v>
      </c>
      <c r="B166" s="30" t="s">
        <v>93</v>
      </c>
      <c r="C166" s="30">
        <v>46</v>
      </c>
      <c r="D166" s="30">
        <v>36</v>
      </c>
      <c r="E166" s="30">
        <v>8195</v>
      </c>
      <c r="F166" s="30">
        <v>8003</v>
      </c>
      <c r="G166" s="51">
        <f t="shared" si="6"/>
        <v>1.0239910033737349</v>
      </c>
      <c r="H166" s="51">
        <f t="shared" si="7"/>
        <v>0.58170455071055471</v>
      </c>
      <c r="I166" s="51">
        <v>0.56100000000000005</v>
      </c>
      <c r="J166" s="51">
        <f t="shared" si="8"/>
        <v>2.0704550710554659E-2</v>
      </c>
    </row>
    <row r="167" spans="1:10" x14ac:dyDescent="0.35">
      <c r="A167" s="30" t="s">
        <v>118</v>
      </c>
      <c r="B167" s="30" t="s">
        <v>121</v>
      </c>
      <c r="C167" s="30">
        <v>58</v>
      </c>
      <c r="D167" s="30">
        <v>24</v>
      </c>
      <c r="E167" s="30">
        <v>8369</v>
      </c>
      <c r="F167" s="30">
        <v>7757</v>
      </c>
      <c r="G167" s="51">
        <f t="shared" si="6"/>
        <v>1.0788964805981693</v>
      </c>
      <c r="H167" s="51">
        <f t="shared" si="7"/>
        <v>0.74198434723271733</v>
      </c>
      <c r="I167" s="51">
        <v>0.70699999999999996</v>
      </c>
      <c r="J167" s="51">
        <f t="shared" si="8"/>
        <v>3.4984347232717372E-2</v>
      </c>
    </row>
    <row r="168" spans="1:10" x14ac:dyDescent="0.35">
      <c r="A168" s="30" t="s">
        <v>118</v>
      </c>
      <c r="B168" s="30" t="s">
        <v>109</v>
      </c>
      <c r="C168" s="30">
        <v>35</v>
      </c>
      <c r="D168" s="30">
        <v>47</v>
      </c>
      <c r="E168" s="30">
        <v>7534</v>
      </c>
      <c r="F168" s="30">
        <v>7603</v>
      </c>
      <c r="G168" s="51">
        <f t="shared" si="6"/>
        <v>0.99092463501249506</v>
      </c>
      <c r="H168" s="51">
        <f t="shared" si="7"/>
        <v>0.46833875836621541</v>
      </c>
      <c r="I168" s="51">
        <v>0.42699999999999999</v>
      </c>
      <c r="J168" s="51">
        <f t="shared" si="8"/>
        <v>4.1338758366215422E-2</v>
      </c>
    </row>
    <row r="169" spans="1:10" x14ac:dyDescent="0.35">
      <c r="A169" s="30" t="s">
        <v>118</v>
      </c>
      <c r="B169" s="30" t="s">
        <v>94</v>
      </c>
      <c r="C169" s="30">
        <v>17</v>
      </c>
      <c r="D169" s="30">
        <v>65</v>
      </c>
      <c r="E169" s="30">
        <v>8288</v>
      </c>
      <c r="F169" s="30">
        <v>8832</v>
      </c>
      <c r="G169" s="51">
        <f t="shared" si="6"/>
        <v>0.93840579710144922</v>
      </c>
      <c r="H169" s="51">
        <f t="shared" si="7"/>
        <v>0.29228798134738354</v>
      </c>
      <c r="I169" s="51">
        <v>0.20699999999999999</v>
      </c>
      <c r="J169" s="51">
        <f t="shared" si="8"/>
        <v>8.5287981347383551E-2</v>
      </c>
    </row>
    <row r="170" spans="1:10" x14ac:dyDescent="0.35">
      <c r="A170" s="30" t="s">
        <v>118</v>
      </c>
      <c r="B170" s="30" t="s">
        <v>95</v>
      </c>
      <c r="C170" s="30">
        <v>24</v>
      </c>
      <c r="D170" s="30">
        <v>58</v>
      </c>
      <c r="E170" s="30">
        <v>7722</v>
      </c>
      <c r="F170" s="30">
        <v>8234</v>
      </c>
      <c r="G170" s="51">
        <f t="shared" si="6"/>
        <v>0.93781880009715812</v>
      </c>
      <c r="H170" s="51">
        <f t="shared" si="7"/>
        <v>0.29049081388227788</v>
      </c>
      <c r="I170" s="51">
        <v>0.29299999999999998</v>
      </c>
      <c r="J170" s="51">
        <f t="shared" si="8"/>
        <v>2.5091861177221064E-3</v>
      </c>
    </row>
    <row r="171" spans="1:10" x14ac:dyDescent="0.35">
      <c r="A171" s="30" t="s">
        <v>118</v>
      </c>
      <c r="B171" s="30" t="s">
        <v>96</v>
      </c>
      <c r="C171" s="30">
        <v>46</v>
      </c>
      <c r="D171" s="30">
        <v>36</v>
      </c>
      <c r="E171" s="30">
        <v>7784</v>
      </c>
      <c r="F171" s="30">
        <v>7711</v>
      </c>
      <c r="G171" s="51">
        <f t="shared" si="6"/>
        <v>1.0094669952016599</v>
      </c>
      <c r="H171" s="51">
        <f t="shared" si="7"/>
        <v>0.53271979254896518</v>
      </c>
      <c r="I171" s="51">
        <v>0.56100000000000005</v>
      </c>
      <c r="J171" s="51">
        <f t="shared" si="8"/>
        <v>2.8280207451034878E-2</v>
      </c>
    </row>
    <row r="172" spans="1:10" x14ac:dyDescent="0.35">
      <c r="A172" s="30" t="s">
        <v>118</v>
      </c>
      <c r="B172" s="30" t="s">
        <v>97</v>
      </c>
      <c r="C172" s="30">
        <v>42</v>
      </c>
      <c r="D172" s="30">
        <v>40</v>
      </c>
      <c r="E172" s="30">
        <v>8734</v>
      </c>
      <c r="F172" s="30">
        <v>8670</v>
      </c>
      <c r="G172" s="51">
        <f t="shared" si="6"/>
        <v>1.0073817762399078</v>
      </c>
      <c r="H172" s="51">
        <f t="shared" si="7"/>
        <v>0.52555356196303349</v>
      </c>
      <c r="I172" s="51">
        <v>0.51200000000000001</v>
      </c>
      <c r="J172" s="51">
        <f t="shared" si="8"/>
        <v>1.3553561963033478E-2</v>
      </c>
    </row>
    <row r="173" spans="1:10" x14ac:dyDescent="0.35">
      <c r="A173" s="30" t="s">
        <v>118</v>
      </c>
      <c r="B173" s="30" t="s">
        <v>110</v>
      </c>
      <c r="C173" s="30">
        <v>55</v>
      </c>
      <c r="D173" s="30">
        <v>27</v>
      </c>
      <c r="E173" s="30">
        <v>8596</v>
      </c>
      <c r="F173" s="30">
        <v>8285</v>
      </c>
      <c r="G173" s="51">
        <f t="shared" si="6"/>
        <v>1.0375377187688595</v>
      </c>
      <c r="H173" s="51">
        <f t="shared" si="7"/>
        <v>0.62541298016488833</v>
      </c>
      <c r="I173" s="51">
        <v>0.67100000000000004</v>
      </c>
      <c r="J173" s="51">
        <f t="shared" si="8"/>
        <v>4.5587019835111708E-2</v>
      </c>
    </row>
    <row r="174" spans="1:10" x14ac:dyDescent="0.35">
      <c r="A174" s="30" t="s">
        <v>118</v>
      </c>
      <c r="B174" s="30" t="s">
        <v>98</v>
      </c>
      <c r="C174" s="30">
        <v>52</v>
      </c>
      <c r="D174" s="30">
        <v>30</v>
      </c>
      <c r="E174" s="30">
        <v>8135</v>
      </c>
      <c r="F174" s="30">
        <v>7687</v>
      </c>
      <c r="G174" s="51">
        <f t="shared" si="6"/>
        <v>1.0582802133472096</v>
      </c>
      <c r="H174" s="51">
        <f t="shared" si="7"/>
        <v>0.68738755701643828</v>
      </c>
      <c r="I174" s="51">
        <v>0.63400000000000001</v>
      </c>
      <c r="J174" s="51">
        <f t="shared" si="8"/>
        <v>5.338755701643827E-2</v>
      </c>
    </row>
    <row r="175" spans="1:10" x14ac:dyDescent="0.35">
      <c r="A175" s="30" t="s">
        <v>118</v>
      </c>
      <c r="B175" s="30" t="s">
        <v>99</v>
      </c>
      <c r="C175" s="30">
        <v>41</v>
      </c>
      <c r="D175" s="30">
        <v>41</v>
      </c>
      <c r="E175" s="30">
        <v>8119</v>
      </c>
      <c r="F175" s="30">
        <v>7996</v>
      </c>
      <c r="G175" s="51">
        <f t="shared" si="6"/>
        <v>1.0153826913456729</v>
      </c>
      <c r="H175" s="51">
        <f t="shared" si="7"/>
        <v>0.55288746915327525</v>
      </c>
      <c r="I175" s="51">
        <v>0.5</v>
      </c>
      <c r="J175" s="51">
        <f t="shared" si="8"/>
        <v>5.2887469153275246E-2</v>
      </c>
    </row>
    <row r="176" spans="1:10" x14ac:dyDescent="0.35">
      <c r="A176" s="30" t="s">
        <v>118</v>
      </c>
      <c r="B176" s="30" t="s">
        <v>100</v>
      </c>
      <c r="C176" s="30">
        <v>40</v>
      </c>
      <c r="D176" s="30">
        <v>42</v>
      </c>
      <c r="E176" s="30">
        <v>8611</v>
      </c>
      <c r="F176" s="30">
        <v>8684</v>
      </c>
      <c r="G176" s="51">
        <f t="shared" si="6"/>
        <v>0.99159373560571162</v>
      </c>
      <c r="H176" s="51">
        <f t="shared" si="7"/>
        <v>0.47067733911925924</v>
      </c>
      <c r="I176" s="51">
        <v>0.48799999999999999</v>
      </c>
      <c r="J176" s="51">
        <f t="shared" si="8"/>
        <v>1.7322660880740748E-2</v>
      </c>
    </row>
    <row r="177" spans="1:10" x14ac:dyDescent="0.35">
      <c r="A177" s="30" t="s">
        <v>118</v>
      </c>
      <c r="B177" s="30" t="s">
        <v>114</v>
      </c>
      <c r="C177" s="30">
        <v>48</v>
      </c>
      <c r="D177" s="30">
        <v>34</v>
      </c>
      <c r="E177" s="30">
        <v>7896</v>
      </c>
      <c r="F177" s="30">
        <v>7771</v>
      </c>
      <c r="G177" s="51">
        <f t="shared" si="6"/>
        <v>1.01608544588856</v>
      </c>
      <c r="H177" s="51">
        <f t="shared" si="7"/>
        <v>0.55526529495751176</v>
      </c>
      <c r="I177" s="51">
        <v>0.58499999999999996</v>
      </c>
      <c r="J177" s="51">
        <f t="shared" si="8"/>
        <v>2.9734705042488208E-2</v>
      </c>
    </row>
    <row r="178" spans="1:10" x14ac:dyDescent="0.35">
      <c r="A178" s="30" t="s">
        <v>118</v>
      </c>
      <c r="B178" s="30" t="s">
        <v>101</v>
      </c>
      <c r="C178" s="30">
        <v>24</v>
      </c>
      <c r="D178" s="30">
        <v>58</v>
      </c>
      <c r="E178" s="30">
        <v>8151</v>
      </c>
      <c r="F178" s="30">
        <v>8589</v>
      </c>
      <c r="G178" s="51">
        <f t="shared" si="6"/>
        <v>0.94900454069158224</v>
      </c>
      <c r="H178" s="51">
        <f t="shared" si="7"/>
        <v>0.32561773956304335</v>
      </c>
      <c r="I178" s="51">
        <v>0.29299999999999998</v>
      </c>
      <c r="J178" s="51">
        <f t="shared" si="8"/>
        <v>3.2617739563043369E-2</v>
      </c>
    </row>
    <row r="179" spans="1:10" x14ac:dyDescent="0.35">
      <c r="A179" s="30" t="s">
        <v>118</v>
      </c>
      <c r="B179" s="30" t="s">
        <v>123</v>
      </c>
      <c r="C179" s="30">
        <v>61</v>
      </c>
      <c r="D179" s="30">
        <v>21</v>
      </c>
      <c r="E179" s="30">
        <v>8502</v>
      </c>
      <c r="F179" s="30">
        <v>8034</v>
      </c>
      <c r="G179" s="51">
        <f t="shared" si="6"/>
        <v>1.058252427184466</v>
      </c>
      <c r="H179" s="51">
        <f t="shared" si="7"/>
        <v>0.68730906989963558</v>
      </c>
      <c r="I179" s="51">
        <v>0.74399999999999999</v>
      </c>
      <c r="J179" s="51">
        <f t="shared" si="8"/>
        <v>5.6690930100364412E-2</v>
      </c>
    </row>
    <row r="180" spans="1:10" x14ac:dyDescent="0.35">
      <c r="A180" s="30" t="s">
        <v>118</v>
      </c>
      <c r="B180" s="30" t="s">
        <v>115</v>
      </c>
      <c r="C180" s="30">
        <v>22</v>
      </c>
      <c r="D180" s="30">
        <v>60</v>
      </c>
      <c r="E180" s="30">
        <v>8124</v>
      </c>
      <c r="F180" s="30">
        <v>8639</v>
      </c>
      <c r="G180" s="51">
        <f t="shared" si="6"/>
        <v>0.94038661882162289</v>
      </c>
      <c r="H180" s="51">
        <f t="shared" si="7"/>
        <v>0.29839197471242368</v>
      </c>
      <c r="I180" s="51">
        <v>0.26800000000000002</v>
      </c>
      <c r="J180" s="51">
        <f t="shared" si="8"/>
        <v>3.0391974712423664E-2</v>
      </c>
    </row>
    <row r="181" spans="1:10" x14ac:dyDescent="0.35">
      <c r="A181" s="30" t="s">
        <v>118</v>
      </c>
      <c r="B181" s="30" t="s">
        <v>102</v>
      </c>
      <c r="C181" s="30">
        <v>39</v>
      </c>
      <c r="D181" s="30">
        <v>43</v>
      </c>
      <c r="E181" s="30">
        <v>8153</v>
      </c>
      <c r="F181" s="30">
        <v>8303</v>
      </c>
      <c r="G181" s="51">
        <f t="shared" si="6"/>
        <v>0.98193424063591472</v>
      </c>
      <c r="H181" s="51">
        <f t="shared" si="7"/>
        <v>0.43693949971033813</v>
      </c>
      <c r="I181" s="51">
        <v>0.47599999999999998</v>
      </c>
      <c r="J181" s="51">
        <f t="shared" si="8"/>
        <v>3.9060500289661848E-2</v>
      </c>
    </row>
    <row r="182" spans="1:10" x14ac:dyDescent="0.35">
      <c r="A182" s="30" t="s">
        <v>118</v>
      </c>
      <c r="B182" s="30" t="s">
        <v>103</v>
      </c>
      <c r="C182" s="30">
        <v>23</v>
      </c>
      <c r="D182" s="30">
        <v>59</v>
      </c>
      <c r="E182" s="30">
        <v>7977</v>
      </c>
      <c r="F182" s="30">
        <v>8584</v>
      </c>
      <c r="G182" s="51">
        <f t="shared" si="6"/>
        <v>0.929287045666356</v>
      </c>
      <c r="H182" s="51">
        <f t="shared" si="7"/>
        <v>0.26500284295166854</v>
      </c>
      <c r="I182" s="51">
        <v>0.28000000000000003</v>
      </c>
      <c r="J182" s="51">
        <f t="shared" si="8"/>
        <v>1.4997157048331489E-2</v>
      </c>
    </row>
    <row r="183" spans="1:10" x14ac:dyDescent="0.35">
      <c r="A183" s="30" t="s">
        <v>120</v>
      </c>
      <c r="B183" s="30" t="s">
        <v>122</v>
      </c>
      <c r="C183" s="30">
        <v>53</v>
      </c>
      <c r="D183" s="30">
        <v>29</v>
      </c>
      <c r="E183" s="30">
        <v>8338</v>
      </c>
      <c r="F183" s="30">
        <v>7956</v>
      </c>
      <c r="G183" s="51">
        <f t="shared" si="6"/>
        <v>1.0480140774258422</v>
      </c>
      <c r="H183" s="51">
        <f t="shared" si="7"/>
        <v>0.65753702551561888</v>
      </c>
      <c r="I183" s="51">
        <v>0.64600000000000002</v>
      </c>
      <c r="J183" s="51">
        <f t="shared" si="8"/>
        <v>1.1537025515618859E-2</v>
      </c>
    </row>
    <row r="184" spans="1:10" x14ac:dyDescent="0.35">
      <c r="A184" s="30" t="s">
        <v>120</v>
      </c>
      <c r="B184" s="30" t="s">
        <v>111</v>
      </c>
      <c r="C184" s="30">
        <v>50</v>
      </c>
      <c r="D184" s="30">
        <v>32</v>
      </c>
      <c r="E184" s="30">
        <v>8136</v>
      </c>
      <c r="F184" s="30">
        <v>7836</v>
      </c>
      <c r="G184" s="51">
        <f t="shared" si="6"/>
        <v>1.0382848392036754</v>
      </c>
      <c r="H184" s="51">
        <f t="shared" si="7"/>
        <v>0.62775574396152101</v>
      </c>
      <c r="I184" s="51">
        <v>0.61</v>
      </c>
      <c r="J184" s="51">
        <f t="shared" si="8"/>
        <v>1.775574396152102E-2</v>
      </c>
    </row>
    <row r="185" spans="1:10" x14ac:dyDescent="0.35">
      <c r="A185" s="30" t="s">
        <v>120</v>
      </c>
      <c r="B185" s="30" t="s">
        <v>90</v>
      </c>
      <c r="C185" s="30">
        <v>44</v>
      </c>
      <c r="D185" s="30">
        <v>38</v>
      </c>
      <c r="E185" s="30">
        <v>7813</v>
      </c>
      <c r="F185" s="30">
        <v>7693</v>
      </c>
      <c r="G185" s="51">
        <f t="shared" si="6"/>
        <v>1.0155985961263487</v>
      </c>
      <c r="H185" s="51">
        <f t="shared" si="7"/>
        <v>0.55361843790779575</v>
      </c>
      <c r="I185" s="51">
        <v>0.53700000000000003</v>
      </c>
      <c r="J185" s="51">
        <f t="shared" si="8"/>
        <v>1.6618437907795713E-2</v>
      </c>
    </row>
    <row r="186" spans="1:10" x14ac:dyDescent="0.35">
      <c r="A186" s="30" t="s">
        <v>120</v>
      </c>
      <c r="B186" s="30" t="s">
        <v>106</v>
      </c>
      <c r="C186" s="30">
        <v>41</v>
      </c>
      <c r="D186" s="30">
        <v>41</v>
      </c>
      <c r="E186" s="30">
        <v>7993</v>
      </c>
      <c r="F186" s="30">
        <v>8127</v>
      </c>
      <c r="G186" s="51">
        <f t="shared" si="6"/>
        <v>0.98351175095361143</v>
      </c>
      <c r="H186" s="51">
        <f t="shared" si="7"/>
        <v>0.44244046067009174</v>
      </c>
      <c r="I186" s="51">
        <v>0.5</v>
      </c>
      <c r="J186" s="51">
        <f t="shared" si="8"/>
        <v>5.755953932990826E-2</v>
      </c>
    </row>
    <row r="187" spans="1:10" x14ac:dyDescent="0.35">
      <c r="A187" s="30" t="s">
        <v>120</v>
      </c>
      <c r="B187" s="30" t="s">
        <v>91</v>
      </c>
      <c r="C187" s="30">
        <v>61</v>
      </c>
      <c r="D187" s="30">
        <v>21</v>
      </c>
      <c r="E187" s="30">
        <v>8373</v>
      </c>
      <c r="F187" s="30">
        <v>7838</v>
      </c>
      <c r="G187" s="51">
        <f t="shared" si="6"/>
        <v>1.0682572084715489</v>
      </c>
      <c r="H187" s="51">
        <f t="shared" si="7"/>
        <v>0.71472761253982364</v>
      </c>
      <c r="I187" s="51">
        <v>0.74399999999999999</v>
      </c>
      <c r="J187" s="51">
        <f t="shared" si="8"/>
        <v>2.9272387460176352E-2</v>
      </c>
    </row>
    <row r="188" spans="1:10" x14ac:dyDescent="0.35">
      <c r="A188" s="30" t="s">
        <v>120</v>
      </c>
      <c r="B188" s="30" t="s">
        <v>112</v>
      </c>
      <c r="C188" s="30">
        <v>55</v>
      </c>
      <c r="D188" s="30">
        <v>27</v>
      </c>
      <c r="E188" s="30">
        <v>8364</v>
      </c>
      <c r="F188" s="30">
        <v>8141</v>
      </c>
      <c r="G188" s="51">
        <f t="shared" si="6"/>
        <v>1.0273922122589363</v>
      </c>
      <c r="H188" s="51">
        <f t="shared" si="7"/>
        <v>0.59288397106113899</v>
      </c>
      <c r="I188" s="51">
        <v>0.67100000000000004</v>
      </c>
      <c r="J188" s="51">
        <f t="shared" si="8"/>
        <v>7.8116028938861048E-2</v>
      </c>
    </row>
    <row r="189" spans="1:10" x14ac:dyDescent="0.35">
      <c r="A189" s="30" t="s">
        <v>120</v>
      </c>
      <c r="B189" s="30" t="s">
        <v>113</v>
      </c>
      <c r="C189" s="30">
        <v>53</v>
      </c>
      <c r="D189" s="30">
        <v>29</v>
      </c>
      <c r="E189" s="30">
        <v>8729</v>
      </c>
      <c r="F189" s="30">
        <v>8394</v>
      </c>
      <c r="G189" s="51">
        <f t="shared" si="6"/>
        <v>1.0399094591374791</v>
      </c>
      <c r="H189" s="51">
        <f t="shared" si="7"/>
        <v>0.63282354409844899</v>
      </c>
      <c r="I189" s="51">
        <v>0.64600000000000002</v>
      </c>
      <c r="J189" s="51">
        <f t="shared" si="8"/>
        <v>1.3176455901551032E-2</v>
      </c>
    </row>
    <row r="190" spans="1:10" x14ac:dyDescent="0.35">
      <c r="A190" s="30" t="s">
        <v>120</v>
      </c>
      <c r="B190" s="30" t="s">
        <v>92</v>
      </c>
      <c r="C190" s="30">
        <v>27</v>
      </c>
      <c r="D190" s="30">
        <v>55</v>
      </c>
      <c r="E190" s="30">
        <v>7709</v>
      </c>
      <c r="F190" s="30">
        <v>8128</v>
      </c>
      <c r="G190" s="51">
        <f t="shared" si="6"/>
        <v>0.94844980314960625</v>
      </c>
      <c r="H190" s="51">
        <f t="shared" si="7"/>
        <v>0.32383425386532089</v>
      </c>
      <c r="I190" s="51">
        <v>0.32900000000000001</v>
      </c>
      <c r="J190" s="51">
        <f t="shared" si="8"/>
        <v>5.1657461346791278E-3</v>
      </c>
    </row>
    <row r="191" spans="1:10" x14ac:dyDescent="0.35">
      <c r="A191" s="30" t="s">
        <v>120</v>
      </c>
      <c r="B191" s="30" t="s">
        <v>107</v>
      </c>
      <c r="C191" s="30">
        <v>26</v>
      </c>
      <c r="D191" s="30">
        <v>56</v>
      </c>
      <c r="E191" s="30">
        <v>8922</v>
      </c>
      <c r="F191" s="30">
        <v>9217</v>
      </c>
      <c r="G191" s="51">
        <f t="shared" si="6"/>
        <v>0.96799392427037001</v>
      </c>
      <c r="H191" s="51">
        <f t="shared" si="7"/>
        <v>0.38877012051847321</v>
      </c>
      <c r="I191" s="51">
        <v>0.317</v>
      </c>
      <c r="J191" s="51">
        <f t="shared" si="8"/>
        <v>7.1770120518473202E-2</v>
      </c>
    </row>
    <row r="192" spans="1:10" x14ac:dyDescent="0.35">
      <c r="A192" s="30" t="s">
        <v>120</v>
      </c>
      <c r="B192" s="30" t="s">
        <v>116</v>
      </c>
      <c r="C192" s="30">
        <v>42</v>
      </c>
      <c r="D192" s="30">
        <v>40</v>
      </c>
      <c r="E192" s="30">
        <v>8395</v>
      </c>
      <c r="F192" s="30">
        <v>8425</v>
      </c>
      <c r="G192" s="51">
        <f t="shared" si="6"/>
        <v>0.99643916913946584</v>
      </c>
      <c r="H192" s="51">
        <f t="shared" si="7"/>
        <v>0.48759765624375556</v>
      </c>
      <c r="I192" s="51">
        <v>0.51200000000000001</v>
      </c>
      <c r="J192" s="51">
        <f t="shared" si="8"/>
        <v>2.4402343756244449E-2</v>
      </c>
    </row>
    <row r="193" spans="1:10" x14ac:dyDescent="0.35">
      <c r="A193" s="30" t="s">
        <v>120</v>
      </c>
      <c r="B193" s="30" t="s">
        <v>117</v>
      </c>
      <c r="C193" s="30">
        <v>32</v>
      </c>
      <c r="D193" s="30">
        <v>50</v>
      </c>
      <c r="E193" s="30">
        <v>8263</v>
      </c>
      <c r="F193" s="30">
        <v>8510</v>
      </c>
      <c r="G193" s="51">
        <f t="shared" si="6"/>
        <v>0.97097532314923618</v>
      </c>
      <c r="H193" s="51">
        <f t="shared" si="7"/>
        <v>0.3989820751015784</v>
      </c>
      <c r="I193" s="51">
        <v>0.39</v>
      </c>
      <c r="J193" s="51">
        <f t="shared" si="8"/>
        <v>8.9820751015783906E-3</v>
      </c>
    </row>
    <row r="194" spans="1:10" x14ac:dyDescent="0.35">
      <c r="A194" s="30" t="s">
        <v>120</v>
      </c>
      <c r="B194" s="30" t="s">
        <v>108</v>
      </c>
      <c r="C194" s="30">
        <v>29</v>
      </c>
      <c r="D194" s="30">
        <v>53</v>
      </c>
      <c r="E194" s="30">
        <v>7849</v>
      </c>
      <c r="F194" s="30">
        <v>8370</v>
      </c>
      <c r="G194" s="51">
        <f t="shared" si="6"/>
        <v>0.93775388291517325</v>
      </c>
      <c r="H194" s="51">
        <f t="shared" si="7"/>
        <v>0.29029239377771732</v>
      </c>
      <c r="I194" s="51">
        <v>0.35399999999999998</v>
      </c>
      <c r="J194" s="51">
        <f t="shared" si="8"/>
        <v>6.3707606222282664E-2</v>
      </c>
    </row>
    <row r="195" spans="1:10" x14ac:dyDescent="0.35">
      <c r="A195" s="30" t="s">
        <v>120</v>
      </c>
      <c r="B195" s="30" t="s">
        <v>119</v>
      </c>
      <c r="C195" s="30">
        <v>57</v>
      </c>
      <c r="D195" s="30">
        <v>25</v>
      </c>
      <c r="E195" s="30">
        <v>8339</v>
      </c>
      <c r="F195" s="30">
        <v>7952</v>
      </c>
      <c r="G195" s="51">
        <f t="shared" si="6"/>
        <v>1.0486670020120725</v>
      </c>
      <c r="H195" s="51">
        <f t="shared" si="7"/>
        <v>0.65948519433316133</v>
      </c>
      <c r="I195" s="51">
        <v>0.69499999999999995</v>
      </c>
      <c r="J195" s="51">
        <f t="shared" si="8"/>
        <v>3.5514805666838622E-2</v>
      </c>
    </row>
    <row r="196" spans="1:10" x14ac:dyDescent="0.35">
      <c r="A196" s="30" t="s">
        <v>120</v>
      </c>
      <c r="B196" s="30" t="s">
        <v>93</v>
      </c>
      <c r="C196" s="30">
        <v>40</v>
      </c>
      <c r="D196" s="30">
        <v>42</v>
      </c>
      <c r="E196" s="30">
        <v>8404</v>
      </c>
      <c r="F196" s="30">
        <v>8528</v>
      </c>
      <c r="G196" s="51">
        <f t="shared" ref="G196:G242" si="9">E196/F196</f>
        <v>0.98545966228893056</v>
      </c>
      <c r="H196" s="51">
        <f t="shared" ref="H196:H242" si="10">((G196^$H$1)/((G196^$H$1)+1))</f>
        <v>0.4492402305765496</v>
      </c>
      <c r="I196" s="51">
        <v>0.48799999999999999</v>
      </c>
      <c r="J196" s="51">
        <f t="shared" ref="J196:J242" si="11">ABS(H196-I196)</f>
        <v>3.8759769423450385E-2</v>
      </c>
    </row>
    <row r="197" spans="1:10" x14ac:dyDescent="0.35">
      <c r="A197" s="30" t="s">
        <v>120</v>
      </c>
      <c r="B197" s="30" t="s">
        <v>121</v>
      </c>
      <c r="C197" s="30">
        <v>47</v>
      </c>
      <c r="D197" s="30">
        <v>35</v>
      </c>
      <c r="E197" s="30">
        <v>7914</v>
      </c>
      <c r="F197" s="30">
        <v>7727</v>
      </c>
      <c r="G197" s="51">
        <f t="shared" si="9"/>
        <v>1.0242008541477934</v>
      </c>
      <c r="H197" s="51">
        <f t="shared" si="10"/>
        <v>0.58239794657205646</v>
      </c>
      <c r="I197" s="51">
        <v>0.57299999999999995</v>
      </c>
      <c r="J197" s="51">
        <f t="shared" si="11"/>
        <v>9.3979465720565036E-3</v>
      </c>
    </row>
    <row r="198" spans="1:10" x14ac:dyDescent="0.35">
      <c r="A198" s="30" t="s">
        <v>120</v>
      </c>
      <c r="B198" s="30" t="s">
        <v>109</v>
      </c>
      <c r="C198" s="30">
        <v>46</v>
      </c>
      <c r="D198" s="30">
        <v>36</v>
      </c>
      <c r="E198" s="30">
        <v>8009</v>
      </c>
      <c r="F198" s="30">
        <v>7870</v>
      </c>
      <c r="G198" s="51">
        <f t="shared" si="9"/>
        <v>1.0176620076238883</v>
      </c>
      <c r="H198" s="51">
        <f t="shared" si="10"/>
        <v>0.56058440044644853</v>
      </c>
      <c r="I198" s="51">
        <v>0.56100000000000005</v>
      </c>
      <c r="J198" s="51">
        <f t="shared" si="11"/>
        <v>4.1559955355152667E-4</v>
      </c>
    </row>
    <row r="199" spans="1:10" x14ac:dyDescent="0.35">
      <c r="A199" s="30" t="s">
        <v>120</v>
      </c>
      <c r="B199" s="30" t="s">
        <v>94</v>
      </c>
      <c r="C199" s="30">
        <v>15</v>
      </c>
      <c r="D199" s="30">
        <v>67</v>
      </c>
      <c r="E199" s="30">
        <v>8051</v>
      </c>
      <c r="F199" s="30">
        <v>8838</v>
      </c>
      <c r="G199" s="51">
        <f t="shared" si="9"/>
        <v>0.91095270423172658</v>
      </c>
      <c r="H199" s="51">
        <f t="shared" si="10"/>
        <v>0.21461869368730527</v>
      </c>
      <c r="I199" s="51">
        <v>0.183</v>
      </c>
      <c r="J199" s="51">
        <f t="shared" si="11"/>
        <v>3.1618693687305272E-2</v>
      </c>
    </row>
    <row r="200" spans="1:10" x14ac:dyDescent="0.35">
      <c r="A200" s="30" t="s">
        <v>120</v>
      </c>
      <c r="B200" s="30" t="s">
        <v>95</v>
      </c>
      <c r="C200" s="30">
        <v>12</v>
      </c>
      <c r="D200" s="30">
        <v>70</v>
      </c>
      <c r="E200" s="30">
        <v>7575</v>
      </c>
      <c r="F200" s="30">
        <v>8323</v>
      </c>
      <c r="G200" s="51">
        <f t="shared" si="9"/>
        <v>0.91012855941367299</v>
      </c>
      <c r="H200" s="51">
        <f t="shared" si="10"/>
        <v>0.21250415259100475</v>
      </c>
      <c r="I200" s="51">
        <v>0.14599999999999999</v>
      </c>
      <c r="J200" s="51">
        <f t="shared" si="11"/>
        <v>6.6504152591004756E-2</v>
      </c>
    </row>
    <row r="201" spans="1:10" x14ac:dyDescent="0.35">
      <c r="A201" s="30" t="s">
        <v>120</v>
      </c>
      <c r="B201" s="30" t="s">
        <v>96</v>
      </c>
      <c r="C201" s="30">
        <v>37</v>
      </c>
      <c r="D201" s="30">
        <v>45</v>
      </c>
      <c r="E201" s="30">
        <v>8220</v>
      </c>
      <c r="F201" s="30">
        <v>8422</v>
      </c>
      <c r="G201" s="51">
        <f t="shared" si="9"/>
        <v>0.97601519829019234</v>
      </c>
      <c r="H201" s="51">
        <f t="shared" si="10"/>
        <v>0.41636955865761338</v>
      </c>
      <c r="I201" s="51">
        <v>0.45100000000000001</v>
      </c>
      <c r="J201" s="51">
        <f t="shared" si="11"/>
        <v>3.4630441342386631E-2</v>
      </c>
    </row>
    <row r="202" spans="1:10" x14ac:dyDescent="0.35">
      <c r="A202" s="30" t="s">
        <v>120</v>
      </c>
      <c r="B202" s="30" t="s">
        <v>97</v>
      </c>
      <c r="C202" s="30">
        <v>29</v>
      </c>
      <c r="D202" s="30">
        <v>53</v>
      </c>
      <c r="E202" s="30">
        <v>8373</v>
      </c>
      <c r="F202" s="30">
        <v>8686</v>
      </c>
      <c r="G202" s="51">
        <f t="shared" si="9"/>
        <v>0.96396500115127792</v>
      </c>
      <c r="H202" s="51">
        <f t="shared" si="10"/>
        <v>0.37507607593310827</v>
      </c>
      <c r="I202" s="51">
        <v>0.35399999999999998</v>
      </c>
      <c r="J202" s="51">
        <f t="shared" si="11"/>
        <v>2.1076075933108285E-2</v>
      </c>
    </row>
    <row r="203" spans="1:10" x14ac:dyDescent="0.35">
      <c r="A203" s="30" t="s">
        <v>120</v>
      </c>
      <c r="B203" s="30" t="s">
        <v>110</v>
      </c>
      <c r="C203" s="30">
        <v>50</v>
      </c>
      <c r="D203" s="30">
        <v>32</v>
      </c>
      <c r="E203" s="30">
        <v>8322</v>
      </c>
      <c r="F203" s="30">
        <v>8036</v>
      </c>
      <c r="G203" s="51">
        <f t="shared" si="9"/>
        <v>1.0355898456943753</v>
      </c>
      <c r="H203" s="51">
        <f t="shared" si="10"/>
        <v>0.61926952451235096</v>
      </c>
      <c r="I203" s="51">
        <v>0.61</v>
      </c>
      <c r="J203" s="51">
        <f t="shared" si="11"/>
        <v>9.2695245123509684E-3</v>
      </c>
    </row>
    <row r="204" spans="1:10" x14ac:dyDescent="0.35">
      <c r="A204" s="30" t="s">
        <v>120</v>
      </c>
      <c r="B204" s="30" t="s">
        <v>98</v>
      </c>
      <c r="C204" s="30">
        <v>59</v>
      </c>
      <c r="D204" s="30">
        <v>23</v>
      </c>
      <c r="E204" s="30">
        <v>8426</v>
      </c>
      <c r="F204" s="30">
        <v>7812</v>
      </c>
      <c r="G204" s="51">
        <f t="shared" si="9"/>
        <v>1.0785970302099335</v>
      </c>
      <c r="H204" s="51">
        <f t="shared" si="10"/>
        <v>0.74124443748269964</v>
      </c>
      <c r="I204" s="51">
        <v>0.72</v>
      </c>
      <c r="J204" s="51">
        <f t="shared" si="11"/>
        <v>2.1244437482699663E-2</v>
      </c>
    </row>
    <row r="205" spans="1:10" x14ac:dyDescent="0.35">
      <c r="A205" s="30" t="s">
        <v>120</v>
      </c>
      <c r="B205" s="30" t="s">
        <v>99</v>
      </c>
      <c r="C205" s="30">
        <v>27</v>
      </c>
      <c r="D205" s="30">
        <v>55</v>
      </c>
      <c r="E205" s="30">
        <v>8014</v>
      </c>
      <c r="F205" s="30">
        <v>8334</v>
      </c>
      <c r="G205" s="51">
        <f t="shared" si="9"/>
        <v>0.96160307175425963</v>
      </c>
      <c r="H205" s="51">
        <f t="shared" si="10"/>
        <v>0.36711223664223924</v>
      </c>
      <c r="I205" s="51">
        <v>0.32900000000000001</v>
      </c>
      <c r="J205" s="51">
        <f t="shared" si="11"/>
        <v>3.8112236642239228E-2</v>
      </c>
    </row>
    <row r="206" spans="1:10" x14ac:dyDescent="0.35">
      <c r="A206" s="30" t="s">
        <v>120</v>
      </c>
      <c r="B206" s="30" t="s">
        <v>100</v>
      </c>
      <c r="C206" s="30">
        <v>54</v>
      </c>
      <c r="D206" s="30">
        <v>28</v>
      </c>
      <c r="E206" s="30">
        <v>9039</v>
      </c>
      <c r="F206" s="30">
        <v>8637</v>
      </c>
      <c r="G206" s="51">
        <f t="shared" si="9"/>
        <v>1.0465439388676623</v>
      </c>
      <c r="H206" s="51">
        <f t="shared" si="10"/>
        <v>0.6531265940764811</v>
      </c>
      <c r="I206" s="51">
        <v>0.65900000000000003</v>
      </c>
      <c r="J206" s="51">
        <f t="shared" si="11"/>
        <v>5.8734059235189262E-3</v>
      </c>
    </row>
    <row r="207" spans="1:10" x14ac:dyDescent="0.35">
      <c r="A207" s="30" t="s">
        <v>120</v>
      </c>
      <c r="B207" s="30" t="s">
        <v>114</v>
      </c>
      <c r="C207" s="30">
        <v>50</v>
      </c>
      <c r="D207" s="30">
        <v>32</v>
      </c>
      <c r="E207" s="30">
        <v>8045</v>
      </c>
      <c r="F207" s="30">
        <v>7774</v>
      </c>
      <c r="G207" s="51">
        <f t="shared" si="9"/>
        <v>1.034859789040391</v>
      </c>
      <c r="H207" s="51">
        <f t="shared" si="10"/>
        <v>0.61695398970945103</v>
      </c>
      <c r="I207" s="51">
        <v>0.61</v>
      </c>
      <c r="J207" s="51">
        <f t="shared" si="11"/>
        <v>6.9539897094510472E-3</v>
      </c>
    </row>
    <row r="208" spans="1:10" x14ac:dyDescent="0.35">
      <c r="A208" s="30" t="s">
        <v>120</v>
      </c>
      <c r="B208" s="30" t="s">
        <v>101</v>
      </c>
      <c r="C208" s="30">
        <v>25</v>
      </c>
      <c r="D208" s="30">
        <v>57</v>
      </c>
      <c r="E208" s="30">
        <v>8200</v>
      </c>
      <c r="F208" s="30">
        <v>8558</v>
      </c>
      <c r="G208" s="51">
        <f t="shared" si="9"/>
        <v>0.95816779621406867</v>
      </c>
      <c r="H208" s="51">
        <f t="shared" si="10"/>
        <v>0.35562428285339071</v>
      </c>
      <c r="I208" s="51">
        <v>0.30499999999999999</v>
      </c>
      <c r="J208" s="51">
        <f t="shared" si="11"/>
        <v>5.0624282853390712E-2</v>
      </c>
    </row>
    <row r="209" spans="1:10" x14ac:dyDescent="0.35">
      <c r="A209" s="30" t="s">
        <v>120</v>
      </c>
      <c r="B209" s="30" t="s">
        <v>123</v>
      </c>
      <c r="C209" s="30">
        <v>50</v>
      </c>
      <c r="D209" s="30">
        <v>32</v>
      </c>
      <c r="E209" s="30">
        <v>8312</v>
      </c>
      <c r="F209" s="30">
        <v>7895</v>
      </c>
      <c r="G209" s="51">
        <f t="shared" si="9"/>
        <v>1.0528182393920202</v>
      </c>
      <c r="H209" s="51">
        <f t="shared" si="10"/>
        <v>0.67171590869923292</v>
      </c>
      <c r="I209" s="51">
        <v>0.61</v>
      </c>
      <c r="J209" s="51">
        <f t="shared" si="11"/>
        <v>6.1715908699232935E-2</v>
      </c>
    </row>
    <row r="210" spans="1:10" x14ac:dyDescent="0.35">
      <c r="A210" s="30" t="s">
        <v>120</v>
      </c>
      <c r="B210" s="30" t="s">
        <v>115</v>
      </c>
      <c r="C210" s="30">
        <v>40</v>
      </c>
      <c r="D210" s="30">
        <v>42</v>
      </c>
      <c r="E210" s="30">
        <v>8534</v>
      </c>
      <c r="F210" s="30">
        <v>8680</v>
      </c>
      <c r="G210" s="51">
        <f t="shared" si="9"/>
        <v>0.98317972350230409</v>
      </c>
      <c r="H210" s="51">
        <f t="shared" si="10"/>
        <v>0.44128215606534743</v>
      </c>
      <c r="I210" s="51">
        <v>0.48799999999999999</v>
      </c>
      <c r="J210" s="51">
        <f t="shared" si="11"/>
        <v>4.6717843934652559E-2</v>
      </c>
    </row>
    <row r="211" spans="1:10" x14ac:dyDescent="0.35">
      <c r="A211" s="30" t="s">
        <v>120</v>
      </c>
      <c r="B211" s="30" t="s">
        <v>102</v>
      </c>
      <c r="C211" s="30">
        <v>53</v>
      </c>
      <c r="D211" s="30">
        <v>29</v>
      </c>
      <c r="E211" s="30">
        <v>8547</v>
      </c>
      <c r="F211" s="30">
        <v>8109</v>
      </c>
      <c r="G211" s="51">
        <f t="shared" si="9"/>
        <v>1.0540140584535702</v>
      </c>
      <c r="H211" s="51">
        <f t="shared" si="10"/>
        <v>0.67518841602197932</v>
      </c>
      <c r="I211" s="51">
        <v>0.64600000000000002</v>
      </c>
      <c r="J211" s="51">
        <f t="shared" si="11"/>
        <v>2.9188416021979302E-2</v>
      </c>
    </row>
    <row r="212" spans="1:10" x14ac:dyDescent="0.35">
      <c r="A212" s="30" t="s">
        <v>120</v>
      </c>
      <c r="B212" s="30" t="s">
        <v>103</v>
      </c>
      <c r="C212" s="30">
        <v>26</v>
      </c>
      <c r="D212" s="30">
        <v>56</v>
      </c>
      <c r="E212" s="30">
        <v>7892</v>
      </c>
      <c r="F212" s="30">
        <v>8284</v>
      </c>
      <c r="G212" s="51">
        <f t="shared" si="9"/>
        <v>0.95267986479961375</v>
      </c>
      <c r="H212" s="51">
        <f t="shared" si="10"/>
        <v>0.33753330382277458</v>
      </c>
      <c r="I212" s="51">
        <v>0.317</v>
      </c>
      <c r="J212" s="51">
        <f t="shared" si="11"/>
        <v>2.0533303822774573E-2</v>
      </c>
    </row>
    <row r="213" spans="1:10" x14ac:dyDescent="0.35">
      <c r="A213" s="30" t="s">
        <v>127</v>
      </c>
      <c r="B213" s="30" t="s">
        <v>122</v>
      </c>
      <c r="C213" s="30">
        <v>47</v>
      </c>
      <c r="D213" s="30">
        <v>35</v>
      </c>
      <c r="E213" s="30">
        <v>8046</v>
      </c>
      <c r="F213" s="30">
        <v>7917</v>
      </c>
      <c r="G213" s="51">
        <f t="shared" si="9"/>
        <v>1.0162940507768095</v>
      </c>
      <c r="H213" s="51">
        <f t="shared" si="10"/>
        <v>0.55597032809475111</v>
      </c>
      <c r="I213" s="51">
        <v>0.57299999999999995</v>
      </c>
      <c r="J213" s="51">
        <f t="shared" si="11"/>
        <v>1.7029671905248844E-2</v>
      </c>
    </row>
    <row r="214" spans="1:10" x14ac:dyDescent="0.35">
      <c r="A214" s="30" t="s">
        <v>127</v>
      </c>
      <c r="B214" s="30" t="s">
        <v>111</v>
      </c>
      <c r="C214" s="30">
        <v>62</v>
      </c>
      <c r="D214" s="30">
        <v>20</v>
      </c>
      <c r="E214" s="30">
        <v>8275</v>
      </c>
      <c r="F214" s="30">
        <v>7659</v>
      </c>
      <c r="G214" s="51">
        <f t="shared" si="9"/>
        <v>1.0804282543412977</v>
      </c>
      <c r="H214" s="51">
        <f t="shared" si="10"/>
        <v>0.74574437958148421</v>
      </c>
      <c r="I214" s="51">
        <v>0.75600000000000001</v>
      </c>
      <c r="J214" s="51">
        <f t="shared" si="11"/>
        <v>1.0255620418515798E-2</v>
      </c>
    </row>
    <row r="215" spans="1:10" x14ac:dyDescent="0.35">
      <c r="A215" s="30" t="s">
        <v>127</v>
      </c>
      <c r="B215" s="30" t="s">
        <v>90</v>
      </c>
      <c r="C215" s="30">
        <v>35</v>
      </c>
      <c r="D215" s="30">
        <v>47</v>
      </c>
      <c r="E215" s="30">
        <v>7677</v>
      </c>
      <c r="F215" s="30">
        <v>7781</v>
      </c>
      <c r="G215" s="51">
        <f t="shared" si="9"/>
        <v>0.9866341087263848</v>
      </c>
      <c r="H215" s="51">
        <f t="shared" si="10"/>
        <v>0.4533428300794542</v>
      </c>
      <c r="I215" s="51">
        <v>0.42699999999999999</v>
      </c>
      <c r="J215" s="51">
        <f t="shared" si="11"/>
        <v>2.6342830079454205E-2</v>
      </c>
    </row>
    <row r="216" spans="1:10" x14ac:dyDescent="0.35">
      <c r="A216" s="30" t="s">
        <v>127</v>
      </c>
      <c r="B216" s="30" t="s">
        <v>106</v>
      </c>
      <c r="C216" s="30">
        <v>41</v>
      </c>
      <c r="D216" s="30">
        <v>41</v>
      </c>
      <c r="E216" s="30">
        <v>8378</v>
      </c>
      <c r="F216" s="30">
        <v>8401</v>
      </c>
      <c r="G216" s="51">
        <f t="shared" si="9"/>
        <v>0.99726223068682296</v>
      </c>
      <c r="H216" s="51">
        <f t="shared" si="10"/>
        <v>0.49046750597338529</v>
      </c>
      <c r="I216" s="51">
        <v>0.5</v>
      </c>
      <c r="J216" s="51">
        <f t="shared" si="11"/>
        <v>9.5324940266147129E-3</v>
      </c>
    </row>
    <row r="217" spans="1:10" x14ac:dyDescent="0.35">
      <c r="A217" s="30" t="s">
        <v>127</v>
      </c>
      <c r="B217" s="30" t="s">
        <v>91</v>
      </c>
      <c r="C217" s="30">
        <v>66</v>
      </c>
      <c r="D217" s="30">
        <v>16</v>
      </c>
      <c r="E217" s="30">
        <v>8223</v>
      </c>
      <c r="F217" s="30">
        <v>7491</v>
      </c>
      <c r="G217" s="51">
        <f t="shared" si="9"/>
        <v>1.0977172607128554</v>
      </c>
      <c r="H217" s="51">
        <f t="shared" si="10"/>
        <v>0.78530745663032175</v>
      </c>
      <c r="I217" s="51">
        <v>0.80500000000000005</v>
      </c>
      <c r="J217" s="51">
        <f t="shared" si="11"/>
        <v>1.9692543369678295E-2</v>
      </c>
    </row>
    <row r="218" spans="1:10" x14ac:dyDescent="0.35">
      <c r="A218" s="30" t="s">
        <v>127</v>
      </c>
      <c r="B218" s="30" t="s">
        <v>112</v>
      </c>
      <c r="C218" s="30">
        <v>50</v>
      </c>
      <c r="D218" s="30">
        <v>32</v>
      </c>
      <c r="E218" s="30">
        <v>8343</v>
      </c>
      <c r="F218" s="30">
        <v>8181</v>
      </c>
      <c r="G218" s="51">
        <f t="shared" si="9"/>
        <v>1.0198019801980198</v>
      </c>
      <c r="H218" s="51">
        <f t="shared" si="10"/>
        <v>0.56776884262177818</v>
      </c>
      <c r="I218" s="51">
        <v>0.61</v>
      </c>
      <c r="J218" s="51">
        <f t="shared" si="11"/>
        <v>4.2231157378221806E-2</v>
      </c>
    </row>
    <row r="219" spans="1:10" x14ac:dyDescent="0.35">
      <c r="A219" s="30" t="s">
        <v>127</v>
      </c>
      <c r="B219" s="30" t="s">
        <v>113</v>
      </c>
      <c r="C219" s="30">
        <v>54</v>
      </c>
      <c r="D219" s="30">
        <v>28</v>
      </c>
      <c r="E219" s="30">
        <v>8555</v>
      </c>
      <c r="F219" s="30">
        <v>8275</v>
      </c>
      <c r="G219" s="51">
        <f t="shared" si="9"/>
        <v>1.0338368580060422</v>
      </c>
      <c r="H219" s="51">
        <f t="shared" si="10"/>
        <v>0.61369785133185817</v>
      </c>
      <c r="I219" s="51">
        <v>0.65900000000000003</v>
      </c>
      <c r="J219" s="51">
        <f t="shared" si="11"/>
        <v>4.5302148668141862E-2</v>
      </c>
    </row>
    <row r="220" spans="1:10" x14ac:dyDescent="0.35">
      <c r="A220" s="30" t="s">
        <v>127</v>
      </c>
      <c r="B220" s="30" t="s">
        <v>92</v>
      </c>
      <c r="C220" s="30">
        <v>39</v>
      </c>
      <c r="D220" s="30">
        <v>43</v>
      </c>
      <c r="E220" s="30">
        <v>7727</v>
      </c>
      <c r="F220" s="30">
        <v>7767</v>
      </c>
      <c r="G220" s="51">
        <f t="shared" si="9"/>
        <v>0.994850006437492</v>
      </c>
      <c r="H220" s="51">
        <f t="shared" si="10"/>
        <v>0.48205233689284049</v>
      </c>
      <c r="I220" s="51">
        <v>0.47599999999999998</v>
      </c>
      <c r="J220" s="51">
        <f t="shared" si="11"/>
        <v>6.0523368928405152E-3</v>
      </c>
    </row>
    <row r="221" spans="1:10" x14ac:dyDescent="0.35">
      <c r="A221" s="30" t="s">
        <v>127</v>
      </c>
      <c r="B221" s="30" t="s">
        <v>107</v>
      </c>
      <c r="C221" s="30">
        <v>29</v>
      </c>
      <c r="D221" s="30">
        <v>53</v>
      </c>
      <c r="E221" s="30">
        <v>8905</v>
      </c>
      <c r="F221" s="30">
        <v>9212</v>
      </c>
      <c r="G221" s="51">
        <f t="shared" si="9"/>
        <v>0.96667390360399474</v>
      </c>
      <c r="H221" s="51">
        <f t="shared" si="10"/>
        <v>0.38426921401257608</v>
      </c>
      <c r="I221" s="51">
        <v>0.35399999999999998</v>
      </c>
      <c r="J221" s="51">
        <f t="shared" si="11"/>
        <v>3.0269214012576096E-2</v>
      </c>
    </row>
    <row r="222" spans="1:10" x14ac:dyDescent="0.35">
      <c r="A222" s="30" t="s">
        <v>127</v>
      </c>
      <c r="B222" s="30" t="s">
        <v>116</v>
      </c>
      <c r="C222" s="30">
        <v>53</v>
      </c>
      <c r="D222" s="30">
        <v>29</v>
      </c>
      <c r="E222" s="30">
        <v>8070</v>
      </c>
      <c r="F222" s="30">
        <v>7742</v>
      </c>
      <c r="G222" s="51">
        <f t="shared" si="9"/>
        <v>1.0423663136140533</v>
      </c>
      <c r="H222" s="51">
        <f t="shared" si="10"/>
        <v>0.64041679576410337</v>
      </c>
      <c r="I222" s="51">
        <v>0.64600000000000002</v>
      </c>
      <c r="J222" s="51">
        <f t="shared" si="11"/>
        <v>5.5832042358966438E-3</v>
      </c>
    </row>
    <row r="223" spans="1:10" x14ac:dyDescent="0.35">
      <c r="A223" s="30" t="s">
        <v>127</v>
      </c>
      <c r="B223" s="30" t="s">
        <v>117</v>
      </c>
      <c r="C223" s="30">
        <v>36</v>
      </c>
      <c r="D223" s="30">
        <v>46</v>
      </c>
      <c r="E223" s="30">
        <v>8617</v>
      </c>
      <c r="F223" s="30">
        <v>8708</v>
      </c>
      <c r="G223" s="51">
        <f t="shared" si="9"/>
        <v>0.98954983922829587</v>
      </c>
      <c r="H223" s="51">
        <f t="shared" si="10"/>
        <v>0.46353321737396291</v>
      </c>
      <c r="I223" s="51">
        <v>0.439</v>
      </c>
      <c r="J223" s="51">
        <f t="shared" si="11"/>
        <v>2.4533217373962912E-2</v>
      </c>
    </row>
    <row r="224" spans="1:10" x14ac:dyDescent="0.35">
      <c r="A224" s="30" t="s">
        <v>127</v>
      </c>
      <c r="B224" s="30" t="s">
        <v>108</v>
      </c>
      <c r="C224" s="30">
        <v>19</v>
      </c>
      <c r="D224" s="30">
        <v>63</v>
      </c>
      <c r="E224" s="30">
        <v>7799</v>
      </c>
      <c r="F224" s="30">
        <v>8518</v>
      </c>
      <c r="G224" s="51">
        <f t="shared" si="9"/>
        <v>0.91559051420521254</v>
      </c>
      <c r="H224" s="51">
        <f t="shared" si="10"/>
        <v>0.2267651406676397</v>
      </c>
      <c r="I224" s="51">
        <v>0.23200000000000001</v>
      </c>
      <c r="J224" s="51">
        <f t="shared" si="11"/>
        <v>5.2348593323603143E-3</v>
      </c>
    </row>
    <row r="225" spans="1:10" x14ac:dyDescent="0.35">
      <c r="A225" s="30" t="s">
        <v>127</v>
      </c>
      <c r="B225" s="30" t="s">
        <v>119</v>
      </c>
      <c r="C225" s="30">
        <v>65</v>
      </c>
      <c r="D225" s="30">
        <v>17</v>
      </c>
      <c r="E225" s="30">
        <v>8768</v>
      </c>
      <c r="F225" s="30">
        <v>8140</v>
      </c>
      <c r="G225" s="51">
        <f t="shared" si="9"/>
        <v>1.0771498771498771</v>
      </c>
      <c r="H225" s="51">
        <f t="shared" si="10"/>
        <v>0.73764633581516137</v>
      </c>
      <c r="I225" s="51">
        <v>0.79300000000000004</v>
      </c>
      <c r="J225" s="51">
        <f t="shared" si="11"/>
        <v>5.5353664184838669E-2</v>
      </c>
    </row>
    <row r="226" spans="1:10" x14ac:dyDescent="0.35">
      <c r="A226" s="30" t="s">
        <v>127</v>
      </c>
      <c r="B226" s="30" t="s">
        <v>93</v>
      </c>
      <c r="C226" s="30">
        <v>24</v>
      </c>
      <c r="D226" s="30">
        <v>58</v>
      </c>
      <c r="E226" s="30">
        <v>7698</v>
      </c>
      <c r="F226" s="30">
        <v>8146</v>
      </c>
      <c r="G226" s="51">
        <f t="shared" si="9"/>
        <v>0.94500368278909896</v>
      </c>
      <c r="H226" s="51">
        <f t="shared" si="10"/>
        <v>0.31284771833512909</v>
      </c>
      <c r="I226" s="51">
        <v>0.29299999999999998</v>
      </c>
      <c r="J226" s="51">
        <f t="shared" si="11"/>
        <v>1.9847718335129105E-2</v>
      </c>
    </row>
    <row r="227" spans="1:10" x14ac:dyDescent="0.35">
      <c r="A227" s="30" t="s">
        <v>127</v>
      </c>
      <c r="B227" s="30" t="s">
        <v>121</v>
      </c>
      <c r="C227" s="30">
        <v>43</v>
      </c>
      <c r="D227" s="30">
        <v>39</v>
      </c>
      <c r="E227" s="30">
        <v>8061</v>
      </c>
      <c r="F227" s="30">
        <v>8040</v>
      </c>
      <c r="G227" s="51">
        <f t="shared" si="9"/>
        <v>1.0026119402985074</v>
      </c>
      <c r="H227" s="51">
        <f t="shared" si="10"/>
        <v>0.50907018573261031</v>
      </c>
      <c r="I227" s="51">
        <v>0.52400000000000002</v>
      </c>
      <c r="J227" s="51">
        <f t="shared" si="11"/>
        <v>1.4929814267389707E-2</v>
      </c>
    </row>
    <row r="228" spans="1:10" x14ac:dyDescent="0.35">
      <c r="A228" s="30" t="s">
        <v>127</v>
      </c>
      <c r="B228" s="30" t="s">
        <v>109</v>
      </c>
      <c r="C228" s="30">
        <v>34</v>
      </c>
      <c r="D228" s="30">
        <v>48</v>
      </c>
      <c r="E228" s="30">
        <v>8142</v>
      </c>
      <c r="F228" s="30">
        <v>8231</v>
      </c>
      <c r="G228" s="51">
        <f t="shared" si="9"/>
        <v>0.98918721904993323</v>
      </c>
      <c r="H228" s="51">
        <f t="shared" si="10"/>
        <v>0.46226567340708397</v>
      </c>
      <c r="I228" s="51">
        <v>0.41499999999999998</v>
      </c>
      <c r="J228" s="51">
        <f t="shared" si="11"/>
        <v>4.7265673407083986E-2</v>
      </c>
    </row>
    <row r="229" spans="1:10" x14ac:dyDescent="0.35">
      <c r="A229" s="30" t="s">
        <v>127</v>
      </c>
      <c r="B229" s="30" t="s">
        <v>94</v>
      </c>
      <c r="C229" s="30">
        <v>24</v>
      </c>
      <c r="D229" s="30">
        <v>58</v>
      </c>
      <c r="E229" s="30">
        <v>8019</v>
      </c>
      <c r="F229" s="30">
        <v>8422</v>
      </c>
      <c r="G229" s="51">
        <f t="shared" si="9"/>
        <v>0.95214913322251249</v>
      </c>
      <c r="H229" s="51">
        <f t="shared" si="10"/>
        <v>0.33580226023964488</v>
      </c>
      <c r="I229" s="51">
        <v>0.29299999999999998</v>
      </c>
      <c r="J229" s="51">
        <f t="shared" si="11"/>
        <v>4.2802260239644896E-2</v>
      </c>
    </row>
    <row r="230" spans="1:10" x14ac:dyDescent="0.35">
      <c r="A230" s="30" t="s">
        <v>127</v>
      </c>
      <c r="B230" s="30" t="s">
        <v>95</v>
      </c>
      <c r="C230" s="30">
        <v>34</v>
      </c>
      <c r="D230" s="30">
        <v>48</v>
      </c>
      <c r="E230" s="30">
        <v>8044</v>
      </c>
      <c r="F230" s="30">
        <v>8244</v>
      </c>
      <c r="G230" s="51">
        <f t="shared" si="9"/>
        <v>0.97573993207180976</v>
      </c>
      <c r="H230" s="51">
        <f t="shared" si="10"/>
        <v>0.41541641451807981</v>
      </c>
      <c r="I230" s="51">
        <v>0.41499999999999998</v>
      </c>
      <c r="J230" s="51">
        <f t="shared" si="11"/>
        <v>4.1641451807983287E-4</v>
      </c>
    </row>
    <row r="231" spans="1:10" x14ac:dyDescent="0.35">
      <c r="A231" s="30" t="s">
        <v>127</v>
      </c>
      <c r="B231" s="30" t="s">
        <v>96</v>
      </c>
      <c r="C231" s="30">
        <v>49</v>
      </c>
      <c r="D231" s="30">
        <v>33</v>
      </c>
      <c r="E231" s="30">
        <v>7857</v>
      </c>
      <c r="F231" s="30">
        <v>7730</v>
      </c>
      <c r="G231" s="51">
        <f t="shared" si="9"/>
        <v>1.0164294954721862</v>
      </c>
      <c r="H231" s="51">
        <f t="shared" si="10"/>
        <v>0.55642789987723384</v>
      </c>
      <c r="I231" s="51">
        <v>0.59799999999999998</v>
      </c>
      <c r="J231" s="51">
        <f t="shared" si="11"/>
        <v>4.1572100122766131E-2</v>
      </c>
    </row>
    <row r="232" spans="1:10" x14ac:dyDescent="0.35">
      <c r="A232" s="30" t="s">
        <v>127</v>
      </c>
      <c r="B232" s="30" t="s">
        <v>97</v>
      </c>
      <c r="C232" s="30">
        <v>32</v>
      </c>
      <c r="D232" s="30">
        <v>50</v>
      </c>
      <c r="E232" s="30">
        <v>8627</v>
      </c>
      <c r="F232" s="30">
        <v>8841</v>
      </c>
      <c r="G232" s="51">
        <f t="shared" si="9"/>
        <v>0.97579459337179053</v>
      </c>
      <c r="H232" s="51">
        <f t="shared" si="10"/>
        <v>0.41560565747075195</v>
      </c>
      <c r="I232" s="51">
        <v>0.39</v>
      </c>
      <c r="J232" s="51">
        <f t="shared" si="11"/>
        <v>2.5605657470751941E-2</v>
      </c>
    </row>
    <row r="233" spans="1:10" x14ac:dyDescent="0.35">
      <c r="A233" s="30" t="s">
        <v>127</v>
      </c>
      <c r="B233" s="30" t="s">
        <v>110</v>
      </c>
      <c r="C233" s="30">
        <v>23</v>
      </c>
      <c r="D233" s="30">
        <v>59</v>
      </c>
      <c r="E233" s="30">
        <v>7952</v>
      </c>
      <c r="F233" s="30">
        <v>8452</v>
      </c>
      <c r="G233" s="51">
        <f t="shared" si="9"/>
        <v>0.94084240416469478</v>
      </c>
      <c r="H233" s="51">
        <f t="shared" si="10"/>
        <v>0.2998049885605088</v>
      </c>
      <c r="I233" s="51">
        <v>0.28000000000000003</v>
      </c>
      <c r="J233" s="51">
        <f t="shared" si="11"/>
        <v>1.9804988560508774E-2</v>
      </c>
    </row>
    <row r="234" spans="1:10" x14ac:dyDescent="0.35">
      <c r="A234" s="30" t="s">
        <v>127</v>
      </c>
      <c r="B234" s="30" t="s">
        <v>98</v>
      </c>
      <c r="C234" s="30">
        <v>59</v>
      </c>
      <c r="D234" s="30">
        <v>23</v>
      </c>
      <c r="E234" s="30">
        <v>8286</v>
      </c>
      <c r="F234" s="30">
        <v>7737</v>
      </c>
      <c r="G234" s="51">
        <f t="shared" si="9"/>
        <v>1.0709577355564173</v>
      </c>
      <c r="H234" s="51">
        <f t="shared" si="10"/>
        <v>0.72183393091397363</v>
      </c>
      <c r="I234" s="51">
        <v>0.72</v>
      </c>
      <c r="J234" s="51">
        <f t="shared" si="11"/>
        <v>1.8339309139736581E-3</v>
      </c>
    </row>
    <row r="235" spans="1:10" x14ac:dyDescent="0.35">
      <c r="A235" s="30" t="s">
        <v>127</v>
      </c>
      <c r="B235" s="30" t="s">
        <v>99</v>
      </c>
      <c r="C235" s="30">
        <v>41</v>
      </c>
      <c r="D235" s="30">
        <v>41</v>
      </c>
      <c r="E235" s="30">
        <v>7987</v>
      </c>
      <c r="F235" s="30">
        <v>7981</v>
      </c>
      <c r="G235" s="51">
        <f t="shared" si="9"/>
        <v>1.0007517854905401</v>
      </c>
      <c r="H235" s="51">
        <f t="shared" si="10"/>
        <v>0.5026133280291023</v>
      </c>
      <c r="I235" s="51">
        <v>0.5</v>
      </c>
      <c r="J235" s="51">
        <f t="shared" si="11"/>
        <v>2.613328029102302E-3</v>
      </c>
    </row>
    <row r="236" spans="1:10" x14ac:dyDescent="0.35">
      <c r="A236" s="30" t="s">
        <v>127</v>
      </c>
      <c r="B236" s="30" t="s">
        <v>100</v>
      </c>
      <c r="C236" s="30">
        <v>46</v>
      </c>
      <c r="D236" s="30">
        <v>36</v>
      </c>
      <c r="E236" s="30">
        <v>8974</v>
      </c>
      <c r="F236" s="30">
        <v>8816</v>
      </c>
      <c r="G236" s="51">
        <f t="shared" si="9"/>
        <v>1.0179219600725953</v>
      </c>
      <c r="H236" s="51">
        <f t="shared" si="10"/>
        <v>0.56145935314284923</v>
      </c>
      <c r="I236" s="51">
        <v>0.56100000000000005</v>
      </c>
      <c r="J236" s="51">
        <f t="shared" si="11"/>
        <v>4.5935314284917261E-4</v>
      </c>
    </row>
    <row r="237" spans="1:10" x14ac:dyDescent="0.35">
      <c r="A237" s="30" t="s">
        <v>127</v>
      </c>
      <c r="B237" s="30" t="s">
        <v>114</v>
      </c>
      <c r="C237" s="30">
        <v>54</v>
      </c>
      <c r="D237" s="30">
        <v>28</v>
      </c>
      <c r="E237" s="30">
        <v>8153</v>
      </c>
      <c r="F237" s="30">
        <v>7715</v>
      </c>
      <c r="G237" s="51">
        <f t="shared" si="9"/>
        <v>1.0567725210628645</v>
      </c>
      <c r="H237" s="51">
        <f t="shared" si="10"/>
        <v>0.683110360072675</v>
      </c>
      <c r="I237" s="51">
        <v>0.65900000000000003</v>
      </c>
      <c r="J237" s="51">
        <f t="shared" si="11"/>
        <v>2.4110360072674974E-2</v>
      </c>
    </row>
    <row r="238" spans="1:10" x14ac:dyDescent="0.35">
      <c r="A238" s="30" t="s">
        <v>127</v>
      </c>
      <c r="B238" s="30" t="s">
        <v>101</v>
      </c>
      <c r="C238" s="30">
        <v>17</v>
      </c>
      <c r="D238" s="30">
        <v>65</v>
      </c>
      <c r="E238" s="30">
        <v>8248</v>
      </c>
      <c r="F238" s="30">
        <v>8966</v>
      </c>
      <c r="G238" s="51">
        <f t="shared" si="9"/>
        <v>0.9199196966317198</v>
      </c>
      <c r="H238" s="51">
        <f t="shared" si="10"/>
        <v>0.23847611384815781</v>
      </c>
      <c r="I238" s="51">
        <v>0.20699999999999999</v>
      </c>
      <c r="J238" s="51">
        <f t="shared" si="11"/>
        <v>3.1476113848157822E-2</v>
      </c>
    </row>
    <row r="239" spans="1:10" x14ac:dyDescent="0.35">
      <c r="A239" s="30" t="s">
        <v>127</v>
      </c>
      <c r="B239" s="30" t="s">
        <v>123</v>
      </c>
      <c r="C239" s="30">
        <v>54</v>
      </c>
      <c r="D239" s="30">
        <v>28</v>
      </c>
      <c r="E239" s="30">
        <v>7958</v>
      </c>
      <c r="F239" s="30">
        <v>7650</v>
      </c>
      <c r="G239" s="51">
        <f t="shared" si="9"/>
        <v>1.0402614379084967</v>
      </c>
      <c r="H239" s="51">
        <f t="shared" si="10"/>
        <v>0.63391664381546775</v>
      </c>
      <c r="I239" s="51">
        <v>0.65900000000000003</v>
      </c>
      <c r="J239" s="51">
        <f t="shared" si="11"/>
        <v>2.5083356184532279E-2</v>
      </c>
    </row>
    <row r="240" spans="1:10" x14ac:dyDescent="0.35">
      <c r="A240" s="30" t="s">
        <v>127</v>
      </c>
      <c r="B240" s="30" t="s">
        <v>115</v>
      </c>
      <c r="C240" s="30">
        <v>33</v>
      </c>
      <c r="D240" s="30">
        <v>49</v>
      </c>
      <c r="E240" s="30">
        <v>8121</v>
      </c>
      <c r="F240" s="30">
        <v>8352</v>
      </c>
      <c r="G240" s="51">
        <f t="shared" si="9"/>
        <v>0.97234195402298851</v>
      </c>
      <c r="H240" s="51">
        <f t="shared" si="10"/>
        <v>0.40368264817700322</v>
      </c>
      <c r="I240" s="51">
        <v>0.40200000000000002</v>
      </c>
      <c r="J240" s="51">
        <f t="shared" si="11"/>
        <v>1.6826481770031987E-3</v>
      </c>
    </row>
    <row r="241" spans="1:10" x14ac:dyDescent="0.35">
      <c r="A241" s="30" t="s">
        <v>127</v>
      </c>
      <c r="B241" s="30" t="s">
        <v>102</v>
      </c>
      <c r="C241" s="30">
        <v>48</v>
      </c>
      <c r="D241" s="30">
        <v>34</v>
      </c>
      <c r="E241" s="30">
        <v>8492</v>
      </c>
      <c r="F241" s="30">
        <v>8275</v>
      </c>
      <c r="G241" s="51">
        <f t="shared" si="9"/>
        <v>1.0262235649546827</v>
      </c>
      <c r="H241" s="51">
        <f t="shared" si="10"/>
        <v>0.58905713934512927</v>
      </c>
      <c r="I241" s="51">
        <v>0.58499999999999996</v>
      </c>
      <c r="J241" s="51">
        <f t="shared" si="11"/>
        <v>4.0571393451293014E-3</v>
      </c>
    </row>
    <row r="242" spans="1:10" x14ac:dyDescent="0.35">
      <c r="A242" s="30" t="s">
        <v>127</v>
      </c>
      <c r="B242" s="30" t="s">
        <v>103</v>
      </c>
      <c r="C242" s="30">
        <v>19</v>
      </c>
      <c r="D242" s="30">
        <v>63</v>
      </c>
      <c r="E242" s="30">
        <v>7877</v>
      </c>
      <c r="F242" s="30">
        <v>8489</v>
      </c>
      <c r="G242" s="51">
        <f t="shared" si="9"/>
        <v>0.92790670279184828</v>
      </c>
      <c r="H242" s="51">
        <f t="shared" si="10"/>
        <v>0.26099507447395093</v>
      </c>
      <c r="I242" s="51">
        <v>0.23200000000000001</v>
      </c>
      <c r="J242" s="51">
        <f t="shared" si="11"/>
        <v>2.8995074473950916E-2</v>
      </c>
    </row>
  </sheetData>
  <sortState xmlns:xlrd2="http://schemas.microsoft.com/office/spreadsheetml/2017/richdata2" ref="B262:I301">
    <sortCondition ref="B262:B301"/>
  </sortState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5</vt:i4>
      </vt:variant>
      <vt:variant>
        <vt:lpstr>Named Ranges</vt:lpstr>
      </vt:variant>
      <vt:variant>
        <vt:i4>1</vt:i4>
      </vt:variant>
    </vt:vector>
  </HeadingPairs>
  <TitlesOfParts>
    <vt:vector size="6" baseType="lpstr">
      <vt:lpstr>fig1-1_MLB2005-2016</vt:lpstr>
      <vt:lpstr>fig1-2_MAD_exp</vt:lpstr>
      <vt:lpstr>playoffpredictions</vt:lpstr>
      <vt:lpstr>fig1-3_NFL2008-2015</vt:lpstr>
      <vt:lpstr>fig1-4_NBA2008-2016</vt:lpstr>
      <vt:lpstr>'fig1-3_NFL2008-2015'!playoff_results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dkver</dc:creator>
  <cp:lastModifiedBy>Owner</cp:lastModifiedBy>
  <dcterms:created xsi:type="dcterms:W3CDTF">2016-09-29T01:20:12Z</dcterms:created>
  <dcterms:modified xsi:type="dcterms:W3CDTF">2019-05-20T19:01:42Z</dcterms:modified>
</cp:coreProperties>
</file>